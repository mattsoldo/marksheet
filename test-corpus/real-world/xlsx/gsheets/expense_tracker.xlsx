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  Budget Summary" sheetId="1" r:id="rId5"/>
    <sheet state="visible" name="Jan 2026" sheetId="2" r:id="rId6"/>
  </sheets>
  <definedNames/>
  <calcPr/>
</workbook>
</file>

<file path=xl/sharedStrings.xml><?xml version="1.0" encoding="utf-8"?>
<sst xmlns="http://schemas.openxmlformats.org/spreadsheetml/2006/main" count="57" uniqueCount="40">
  <si>
    <t>Money Out</t>
  </si>
  <si>
    <t>Money In</t>
  </si>
  <si>
    <t>Date</t>
  </si>
  <si>
    <t>Amount</t>
  </si>
  <si>
    <t>Category</t>
  </si>
  <si>
    <t>Description</t>
  </si>
  <si>
    <t>Shopping</t>
  </si>
  <si>
    <t>John's Gift</t>
  </si>
  <si>
    <t>Paycheck</t>
  </si>
  <si>
    <t>Monthly Salary</t>
  </si>
  <si>
    <t>Food</t>
  </si>
  <si>
    <t>Eating Out</t>
  </si>
  <si>
    <t>Bonus</t>
  </si>
  <si>
    <t>Christmas Bonus</t>
  </si>
  <si>
    <t>Weekly Groceries</t>
  </si>
  <si>
    <t>Savings</t>
  </si>
  <si>
    <t>Interest</t>
  </si>
  <si>
    <t>Sam's shoes</t>
  </si>
  <si>
    <t>Utilities</t>
  </si>
  <si>
    <t>Internet Bill</t>
  </si>
  <si>
    <t>EXPENSE TRACKER</t>
  </si>
  <si>
    <t>Month:</t>
  </si>
  <si>
    <t>Cashflow</t>
  </si>
  <si>
    <t>Total Amount Available:</t>
  </si>
  <si>
    <t>Earned:</t>
  </si>
  <si>
    <t>Total Budget for the Month:</t>
  </si>
  <si>
    <t>Spent:</t>
  </si>
  <si>
    <t>Expenses by Category</t>
  </si>
  <si>
    <t>Income by Category</t>
  </si>
  <si>
    <t>Planned</t>
  </si>
  <si>
    <t>Spent</t>
  </si>
  <si>
    <t>Difference</t>
  </si>
  <si>
    <t>Earned</t>
  </si>
  <si>
    <t>Credit Card</t>
  </si>
  <si>
    <t>Transportation</t>
  </si>
  <si>
    <t>Rental</t>
  </si>
  <si>
    <t>Other</t>
  </si>
  <si>
    <t>Personal</t>
  </si>
  <si>
    <t>Misc.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</si>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</sst>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&quot;$&quot;#,##0.00"/>
    <numFmt numFmtId="166" formatCode="m/d/yyyy"/>
    <numFmt numFmtId="167" formatCode="mmm yyyy"/>
  </numFmts>
  <fonts count="9">
    <font>
      <sz val="10.0"/>
      <color rgb="FF000000"/>
      <name val="Arial"/>
      <scheme val="minor"/>
    </font>
    <font>
      <b/>
      <sz val="24.0"/>
      <color rgb="FF4A86E8"/>
      <name val="Calibri"/>
    </font>
    <font>
      <color theme="1"/>
      <name val="Arial"/>
    </font>
    <font>
      <b/>
      <sz val="12.0"/>
      <color rgb="FFFFFFFF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rgb="FF4285F4"/>
      <name val="Calibri"/>
    </font>
    <font>
      <b/>
      <sz val="18.0"/>
      <color rgb="FF4A86E8"/>
      <name val="Calibri"/>
    </font>
    <font>
      <b/>
      <sz val="11.0"/>
      <color theme="4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</fills>
  <borders count="6">
    <border/>
    <border>
      <bottom style="thin">
        <color rgb="FF4285F4"/>
      </bottom>
    </border>
    <border>
      <top style="thin">
        <color rgb="FF4285F4"/>
      </top>
      <bottom style="thin">
        <color rgb="FF4285F4"/>
      </bottom>
    </border>
    <border>
      <top style="thin">
        <color rgb="FF4285F4"/>
      </top>
    </border>
    <border>
      <left style="double">
        <color rgb="FF4285F4"/>
      </left>
      <right style="double">
        <color rgb="FF4285F4"/>
      </right>
      <top style="double">
        <color rgb="FF4285F4"/>
      </top>
      <bottom style="double">
        <color rgb="FF4285F4"/>
      </bottom>
    </border>
    <border>
      <top style="double">
        <color rgb="FF4285F4"/>
      </top>
      <bottom style="double">
        <color rgb="FF4285F4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horizontal="center" vertical="top"/>
    </xf>
    <xf borderId="0" fillId="0" fontId="2" numFmtId="0" xfId="0" applyAlignment="1" applyFont="1">
      <alignment vertical="top"/>
    </xf>
    <xf borderId="1" fillId="0" fontId="4" numFmtId="164" xfId="0" applyAlignment="1" applyBorder="1" applyFont="1" applyNumberFormat="1">
      <alignment horizontal="right" readingOrder="0" vertical="bottom"/>
    </xf>
    <xf borderId="1" fillId="0" fontId="4" numFmtId="165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166" xfId="0" applyAlignment="1" applyBorder="1" applyFont="1" applyNumberFormat="1">
      <alignment horizontal="right" readingOrder="0" vertical="bottom"/>
    </xf>
    <xf borderId="2" fillId="0" fontId="4" numFmtId="166" xfId="0" applyAlignment="1" applyBorder="1" applyFont="1" applyNumberFormat="1">
      <alignment horizontal="right" readingOrder="0" vertical="bottom"/>
    </xf>
    <xf borderId="2" fillId="0" fontId="4" numFmtId="165" xfId="0" applyAlignment="1" applyBorder="1" applyFont="1" applyNumberFormat="1">
      <alignment horizontal="right" readingOrder="0" vertical="bottom"/>
    </xf>
    <xf borderId="2" fillId="0" fontId="4" numFmtId="0" xfId="0" applyAlignment="1" applyBorder="1" applyFont="1">
      <alignment readingOrder="0" vertical="bottom"/>
    </xf>
    <xf borderId="2" fillId="0" fontId="4" numFmtId="166" xfId="0" applyAlignment="1" applyBorder="1" applyFont="1" applyNumberFormat="1">
      <alignment readingOrder="0" vertical="bottom"/>
    </xf>
    <xf borderId="2" fillId="0" fontId="4" numFmtId="0" xfId="0" applyAlignment="1" applyBorder="1" applyFont="1">
      <alignment vertical="bottom"/>
    </xf>
    <xf borderId="2" fillId="0" fontId="4" numFmtId="166" xfId="0" applyAlignment="1" applyBorder="1" applyFont="1" applyNumberFormat="1">
      <alignment horizontal="right" vertical="bottom"/>
    </xf>
    <xf borderId="2" fillId="0" fontId="4" numFmtId="165" xfId="0" applyAlignment="1" applyBorder="1" applyFont="1" applyNumberFormat="1">
      <alignment horizontal="right" vertical="bottom"/>
    </xf>
    <xf borderId="2" fillId="0" fontId="2" numFmtId="0" xfId="0" applyAlignment="1" applyBorder="1" applyFont="1">
      <alignment vertical="bottom"/>
    </xf>
    <xf borderId="2" fillId="0" fontId="2" numFmtId="165" xfId="0" applyAlignment="1" applyBorder="1" applyFont="1" applyNumberFormat="1">
      <alignment vertical="bottom"/>
    </xf>
    <xf borderId="3" fillId="0" fontId="2" numFmtId="0" xfId="0" applyAlignment="1" applyBorder="1" applyFont="1">
      <alignment vertical="bottom"/>
    </xf>
    <xf borderId="0" fillId="0" fontId="1" numFmtId="167" xfId="0" applyAlignment="1" applyFont="1" applyNumberFormat="1">
      <alignment horizontal="center" vertical="bottom"/>
    </xf>
    <xf borderId="0" fillId="2" fontId="5" numFmtId="0" xfId="0" applyAlignment="1" applyFont="1">
      <alignment horizontal="right" vertical="bottom"/>
    </xf>
    <xf borderId="4" fillId="0" fontId="6" numFmtId="167" xfId="0" applyAlignment="1" applyBorder="1" applyFont="1" applyNumberFormat="1">
      <alignment horizontal="center" readingOrder="0" vertical="bottom"/>
    </xf>
    <xf borderId="0" fillId="0" fontId="7" numFmtId="0" xfId="0" applyAlignment="1" applyFont="1">
      <alignment horizontal="center" vertical="bottom"/>
    </xf>
    <xf borderId="4" fillId="0" fontId="6" numFmtId="165" xfId="0" applyAlignment="1" applyBorder="1" applyFont="1" applyNumberFormat="1">
      <alignment horizontal="center" vertical="bottom"/>
    </xf>
    <xf borderId="4" fillId="0" fontId="8" numFmtId="165" xfId="0" applyBorder="1" applyFont="1" applyNumberFormat="1"/>
    <xf borderId="3" fillId="0" fontId="4" numFmtId="0" xfId="0" applyAlignment="1" applyBorder="1" applyFont="1">
      <alignment readingOrder="0" vertical="bottom"/>
    </xf>
    <xf borderId="3" fillId="0" fontId="4" numFmtId="165" xfId="0" applyAlignment="1" applyBorder="1" applyFont="1" applyNumberFormat="1">
      <alignment horizontal="right" readingOrder="0" vertical="bottom"/>
    </xf>
    <xf borderId="3" fillId="0" fontId="4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5" fillId="0" fontId="8" numFmtId="165" xfId="0" applyBorder="1" applyFont="1" applyNumberFormat="1"/>
    <xf borderId="5" fillId="0" fontId="8" numFmtId="165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By Category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'Expense  Budget Summary'!$C$10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'Expense  Budget Summary'!$A$11:$A$17</c:f>
            </c:strRef>
          </c:cat>
          <c:val>
            <c:numRef>
              <c:f>'Expense  Budget Summary'!$C$11:$C$17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"/>
            <c:spPr>
              <a:solidFill>
                <a:schemeClr val="accent2"/>
              </a:solidFill>
              <a:ln cmpd="sng">
                <a:noFill/>
              </a:ln>
            </c:spPr>
          </c:dPt>
          <c:cat>
            <c:strRef>
              <c:f>'Expense  Budget Summary'!$G$4:$G$5</c:f>
            </c:strRef>
          </c:cat>
          <c:val>
            <c:numRef>
              <c:f>'Expense  Budget Summary'!$H$4:$H$5</c:f>
              <c:numCache/>
            </c:numRef>
          </c:val>
        </c:ser>
        <c:axId val="1939353321"/>
        <c:axId val="1427730835"/>
      </c:bar3DChart>
      <c:catAx>
        <c:axId val="19393533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7730835"/>
      </c:catAx>
      <c:valAx>
        <c:axId val="14277308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935332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Earned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'Expense  Budget Summary'!$H$9:$H$10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'Expense  Budget Summary'!$F$11:$F$17</c:f>
            </c:strRef>
          </c:cat>
          <c:val>
            <c:numRef>
              <c:f>'Expense  Budget Summary'!$H$11:$H$17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133350</xdr:rowOff>
    </xdr:from>
    <xdr:ext cx="4505325" cy="2990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942975</xdr:colOff>
      <xdr:row>18</xdr:row>
      <xdr:rowOff>190500</xdr:rowOff>
    </xdr:from>
    <xdr:ext cx="3810000" cy="1266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942975</xdr:colOff>
      <xdr:row>26</xdr:row>
      <xdr:rowOff>47625</xdr:rowOff>
    </xdr:from>
    <xdr:ext cx="3810000" cy="23717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63"/>
  </cols>
  <sheetData>
    <row r="1">
      <c r="A1" s="1" t="s">
        <v>20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9">
        <f>C3</f>
        <v>46023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0" t="s">
        <v>21</v>
      </c>
      <c r="C3" s="21">
        <v>46023.0</v>
      </c>
      <c r="D3" s="2"/>
      <c r="E3" s="2"/>
      <c r="F3" s="2"/>
      <c r="G3" s="22" t="s">
        <v>22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0" t="s">
        <v>23</v>
      </c>
      <c r="C4" s="23">
        <f>H18</f>
        <v>1750</v>
      </c>
      <c r="D4" s="2"/>
      <c r="E4" s="2"/>
      <c r="F4" s="2"/>
      <c r="G4" s="20" t="s">
        <v>24</v>
      </c>
      <c r="H4" s="24">
        <f t="array" ref="H4">SUM(INDIRECT(TEXT($C$3,"mmm yyyy")&amp;"!J3:J"))</f>
        <v>1750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0" t="s">
        <v>25</v>
      </c>
      <c r="C5" s="23">
        <f>B18</f>
        <v>1550</v>
      </c>
      <c r="D5" s="2"/>
      <c r="G5" s="20" t="s">
        <v>26</v>
      </c>
      <c r="H5" s="24">
        <f t="array" ref="H5">SUM(INDIRECT(TEXT($C$3,"mmm yyyy")&amp;"!D3:D"))</f>
        <v>410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D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27</v>
      </c>
      <c r="E9" s="2"/>
      <c r="F9" s="1" t="s">
        <v>28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</v>
      </c>
      <c r="B10" s="3" t="s">
        <v>29</v>
      </c>
      <c r="C10" s="3" t="s">
        <v>30</v>
      </c>
      <c r="D10" s="3" t="s">
        <v>31</v>
      </c>
      <c r="E10" s="2"/>
      <c r="F10" s="3" t="s">
        <v>4</v>
      </c>
      <c r="G10" s="3" t="s">
        <v>29</v>
      </c>
      <c r="H10" s="3" t="s">
        <v>32</v>
      </c>
      <c r="I10" s="3" t="s">
        <v>31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6</v>
      </c>
      <c r="B11" s="6">
        <v>200.0</v>
      </c>
      <c r="C11" s="6">
        <f t="shared" ref="C11:C17" si="1">SUMIF(INDIRECT(TEXT($C$3,"mmm yyyy")&amp;"!E3:E"),A11,INDIRECT(TEXT($C$3,"mmm yyyy")&amp;"!D3:D"))</f>
        <v>70</v>
      </c>
      <c r="D11" s="6">
        <f t="shared" ref="D11:D17" si="2">B11-C11</f>
        <v>130</v>
      </c>
      <c r="E11" s="2"/>
      <c r="F11" s="7" t="s">
        <v>8</v>
      </c>
      <c r="G11" s="6">
        <v>1500.0</v>
      </c>
      <c r="H11" s="6">
        <f t="shared" ref="H11:H17" si="3">SUMIF(INDIRECT(TEXT($C$3,"mmm yyyy")&amp;"!K3:K"),F11,INDIRECT(TEXT($C$3,"mmm yyyy")&amp;"!J3:J"))</f>
        <v>1500</v>
      </c>
      <c r="I11" s="6">
        <f t="shared" ref="I11:I17" si="4">H11-G11</f>
        <v>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 t="s">
        <v>33</v>
      </c>
      <c r="B12" s="10">
        <v>50.0</v>
      </c>
      <c r="C12" s="6">
        <f t="shared" si="1"/>
        <v>0</v>
      </c>
      <c r="D12" s="6">
        <f t="shared" si="2"/>
        <v>50</v>
      </c>
      <c r="E12" s="2"/>
      <c r="F12" s="11" t="s">
        <v>15</v>
      </c>
      <c r="G12" s="10">
        <v>100.0</v>
      </c>
      <c r="H12" s="6">
        <f t="shared" si="3"/>
        <v>50</v>
      </c>
      <c r="I12" s="6">
        <f t="shared" si="4"/>
        <v>-50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 t="s">
        <v>34</v>
      </c>
      <c r="B13" s="10">
        <v>100.0</v>
      </c>
      <c r="C13" s="6">
        <f t="shared" si="1"/>
        <v>0</v>
      </c>
      <c r="D13" s="6">
        <f t="shared" si="2"/>
        <v>100</v>
      </c>
      <c r="E13" s="2"/>
      <c r="F13" s="11" t="s">
        <v>35</v>
      </c>
      <c r="G13" s="10">
        <v>300.0</v>
      </c>
      <c r="H13" s="6">
        <f t="shared" si="3"/>
        <v>0</v>
      </c>
      <c r="I13" s="6">
        <f t="shared" si="4"/>
        <v>-300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 t="s">
        <v>10</v>
      </c>
      <c r="B14" s="10">
        <v>500.0</v>
      </c>
      <c r="C14" s="6">
        <f t="shared" si="1"/>
        <v>240</v>
      </c>
      <c r="D14" s="6">
        <f t="shared" si="2"/>
        <v>260</v>
      </c>
      <c r="E14" s="2"/>
      <c r="F14" s="11" t="s">
        <v>12</v>
      </c>
      <c r="G14" s="10">
        <v>500.0</v>
      </c>
      <c r="H14" s="6">
        <f t="shared" si="3"/>
        <v>200</v>
      </c>
      <c r="I14" s="6">
        <f t="shared" si="4"/>
        <v>-300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 t="s">
        <v>18</v>
      </c>
      <c r="B15" s="10">
        <v>200.0</v>
      </c>
      <c r="C15" s="6">
        <f t="shared" si="1"/>
        <v>100</v>
      </c>
      <c r="D15" s="6">
        <f t="shared" si="2"/>
        <v>100</v>
      </c>
      <c r="E15" s="2"/>
      <c r="F15" s="11" t="s">
        <v>36</v>
      </c>
      <c r="G15" s="10">
        <v>0.0</v>
      </c>
      <c r="H15" s="6">
        <f t="shared" si="3"/>
        <v>0</v>
      </c>
      <c r="I15" s="6">
        <f t="shared" si="4"/>
        <v>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 t="s">
        <v>37</v>
      </c>
      <c r="B16" s="10">
        <v>200.0</v>
      </c>
      <c r="C16" s="6">
        <f t="shared" si="1"/>
        <v>0</v>
      </c>
      <c r="D16" s="6">
        <f t="shared" si="2"/>
        <v>200</v>
      </c>
      <c r="E16" s="2"/>
      <c r="F16" s="13"/>
      <c r="G16" s="10">
        <v>0.0</v>
      </c>
      <c r="H16" s="6">
        <f t="shared" si="3"/>
        <v>0</v>
      </c>
      <c r="I16" s="6">
        <f t="shared" si="4"/>
        <v>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5" t="s">
        <v>38</v>
      </c>
      <c r="B17" s="26">
        <v>300.0</v>
      </c>
      <c r="C17" s="6">
        <f t="shared" si="1"/>
        <v>0</v>
      </c>
      <c r="D17" s="6">
        <f t="shared" si="2"/>
        <v>300</v>
      </c>
      <c r="E17" s="2"/>
      <c r="F17" s="27"/>
      <c r="G17" s="26">
        <v>0.0</v>
      </c>
      <c r="H17" s="6">
        <f t="shared" si="3"/>
        <v>0</v>
      </c>
      <c r="I17" s="6">
        <f t="shared" si="4"/>
        <v>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8" t="s">
        <v>39</v>
      </c>
      <c r="B18" s="29">
        <f t="shared" ref="B18:D18" si="5">SUM(B11:B17)</f>
        <v>1550</v>
      </c>
      <c r="C18" s="29">
        <f t="shared" si="5"/>
        <v>410</v>
      </c>
      <c r="D18" s="29">
        <f t="shared" si="5"/>
        <v>1140</v>
      </c>
      <c r="E18" s="2"/>
      <c r="F18" s="28" t="s">
        <v>39</v>
      </c>
      <c r="G18" s="30">
        <f t="shared" ref="G18:I18" si="6">SUM(G11:G17)</f>
        <v>2400</v>
      </c>
      <c r="H18" s="30">
        <f t="shared" si="6"/>
        <v>1750</v>
      </c>
      <c r="I18" s="30">
        <f t="shared" si="6"/>
        <v>-650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5">
    <mergeCell ref="A1:I1"/>
    <mergeCell ref="A2:I2"/>
    <mergeCell ref="G3:H3"/>
    <mergeCell ref="A9:D9"/>
    <mergeCell ref="F9:I9"/>
  </mergeCells>
  <dataValidations>
    <dataValidation type="decimal" operator="lessThanOrEqual" allowBlank="1" showDropDown="1" sqref="C5">
      <formula1>C4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6" max="6" width="13.63"/>
  </cols>
  <sheetData>
    <row r="1">
      <c r="C1" s="1" t="s">
        <v>0</v>
      </c>
      <c r="G1" s="2"/>
      <c r="H1" s="2"/>
      <c r="I1" s="1" t="s">
        <v>1</v>
      </c>
    </row>
    <row r="2" ht="27.75" customHeight="1">
      <c r="C2" s="3" t="s">
        <v>2</v>
      </c>
      <c r="D2" s="3" t="s">
        <v>3</v>
      </c>
      <c r="E2" s="3" t="s">
        <v>4</v>
      </c>
      <c r="F2" s="3" t="s">
        <v>5</v>
      </c>
      <c r="G2" s="4"/>
      <c r="H2" s="4"/>
      <c r="I2" s="3" t="s">
        <v>2</v>
      </c>
      <c r="J2" s="3" t="s">
        <v>3</v>
      </c>
      <c r="K2" s="3" t="s">
        <v>4</v>
      </c>
      <c r="L2" s="3" t="s">
        <v>5</v>
      </c>
    </row>
    <row r="3">
      <c r="C3" s="5">
        <v>46023.0</v>
      </c>
      <c r="D3" s="6">
        <v>40.0</v>
      </c>
      <c r="E3" s="7" t="s">
        <v>6</v>
      </c>
      <c r="F3" s="7" t="s">
        <v>7</v>
      </c>
      <c r="G3" s="2"/>
      <c r="H3" s="2"/>
      <c r="I3" s="8">
        <v>46023.0</v>
      </c>
      <c r="J3" s="6">
        <v>1500.0</v>
      </c>
      <c r="K3" s="7" t="s">
        <v>8</v>
      </c>
      <c r="L3" s="7" t="s">
        <v>9</v>
      </c>
    </row>
    <row r="4">
      <c r="C4" s="9">
        <v>46023.0</v>
      </c>
      <c r="D4" s="10">
        <v>140.0</v>
      </c>
      <c r="E4" s="11" t="s">
        <v>10</v>
      </c>
      <c r="F4" s="11" t="s">
        <v>11</v>
      </c>
      <c r="G4" s="2"/>
      <c r="H4" s="2"/>
      <c r="I4" s="12">
        <v>46023.0</v>
      </c>
      <c r="J4" s="6">
        <v>200.0</v>
      </c>
      <c r="K4" s="7" t="s">
        <v>12</v>
      </c>
      <c r="L4" s="7" t="s">
        <v>13</v>
      </c>
    </row>
    <row r="5">
      <c r="C5" s="9">
        <v>46054.0</v>
      </c>
      <c r="D5" s="10">
        <v>100.0</v>
      </c>
      <c r="E5" s="11" t="s">
        <v>10</v>
      </c>
      <c r="F5" s="11" t="s">
        <v>14</v>
      </c>
      <c r="G5" s="2"/>
      <c r="H5" s="2"/>
      <c r="I5" s="12">
        <v>46054.0</v>
      </c>
      <c r="J5" s="6">
        <v>50.0</v>
      </c>
      <c r="K5" s="7" t="s">
        <v>15</v>
      </c>
      <c r="L5" s="7" t="s">
        <v>16</v>
      </c>
    </row>
    <row r="6">
      <c r="C6" s="9">
        <v>46054.0</v>
      </c>
      <c r="D6" s="10">
        <v>30.0</v>
      </c>
      <c r="E6" s="11" t="s">
        <v>6</v>
      </c>
      <c r="F6" s="11" t="s">
        <v>17</v>
      </c>
      <c r="G6" s="2"/>
      <c r="H6" s="2"/>
      <c r="I6" s="13"/>
      <c r="J6" s="6"/>
      <c r="K6" s="7"/>
      <c r="L6" s="7"/>
    </row>
    <row r="7">
      <c r="C7" s="9">
        <v>46082.0</v>
      </c>
      <c r="D7" s="10">
        <v>100.0</v>
      </c>
      <c r="E7" s="11" t="s">
        <v>18</v>
      </c>
      <c r="F7" s="11" t="s">
        <v>19</v>
      </c>
      <c r="G7" s="2"/>
      <c r="H7" s="2"/>
      <c r="I7" s="13"/>
      <c r="J7" s="6"/>
      <c r="K7" s="7"/>
      <c r="L7" s="7"/>
    </row>
    <row r="8">
      <c r="C8" s="14"/>
      <c r="D8" s="15"/>
      <c r="E8" s="13"/>
      <c r="F8" s="16"/>
      <c r="G8" s="2"/>
      <c r="H8" s="2"/>
      <c r="I8" s="13"/>
      <c r="J8" s="6"/>
      <c r="K8" s="7"/>
      <c r="L8" s="7"/>
    </row>
    <row r="9">
      <c r="C9" s="16"/>
      <c r="D9" s="17"/>
      <c r="E9" s="13"/>
      <c r="F9" s="16"/>
      <c r="G9" s="2"/>
      <c r="H9" s="2"/>
      <c r="I9" s="13"/>
      <c r="J9" s="6"/>
      <c r="K9" s="7"/>
      <c r="L9" s="7"/>
    </row>
    <row r="10">
      <c r="C10" s="16"/>
      <c r="D10" s="17"/>
      <c r="E10" s="13"/>
      <c r="F10" s="13"/>
      <c r="G10" s="2"/>
      <c r="H10" s="2"/>
      <c r="I10" s="13"/>
      <c r="J10" s="6"/>
      <c r="K10" s="7"/>
      <c r="L10" s="7"/>
    </row>
    <row r="11">
      <c r="C11" s="16"/>
      <c r="D11" s="17"/>
      <c r="E11" s="13"/>
      <c r="F11" s="16"/>
      <c r="G11" s="2"/>
      <c r="H11" s="2"/>
      <c r="I11" s="13"/>
      <c r="J11" s="6"/>
      <c r="K11" s="7"/>
      <c r="L11" s="7"/>
    </row>
    <row r="12">
      <c r="C12" s="16"/>
      <c r="D12" s="17"/>
      <c r="E12" s="13"/>
      <c r="F12" s="16"/>
      <c r="G12" s="2"/>
      <c r="H12" s="2"/>
      <c r="I12" s="13"/>
      <c r="J12" s="6"/>
      <c r="K12" s="7"/>
      <c r="L12" s="7"/>
    </row>
    <row r="13">
      <c r="C13" s="16"/>
      <c r="D13" s="17"/>
      <c r="E13" s="13"/>
      <c r="F13" s="16"/>
      <c r="G13" s="2"/>
      <c r="H13" s="2"/>
      <c r="I13" s="13"/>
      <c r="J13" s="6"/>
      <c r="K13" s="7"/>
      <c r="L13" s="7"/>
    </row>
    <row r="14">
      <c r="C14" s="16"/>
      <c r="D14" s="17"/>
      <c r="E14" s="13"/>
      <c r="F14" s="16"/>
      <c r="G14" s="2"/>
      <c r="H14" s="2"/>
      <c r="I14" s="13"/>
      <c r="J14" s="6"/>
      <c r="K14" s="7"/>
      <c r="L14" s="7"/>
    </row>
    <row r="15">
      <c r="C15" s="16"/>
      <c r="D15" s="17"/>
      <c r="E15" s="13"/>
      <c r="F15" s="16"/>
      <c r="G15" s="2"/>
      <c r="H15" s="2"/>
      <c r="I15" s="13"/>
      <c r="J15" s="6"/>
      <c r="K15" s="7"/>
      <c r="L15" s="7"/>
    </row>
    <row r="16">
      <c r="C16" s="16"/>
      <c r="D16" s="17"/>
      <c r="E16" s="13"/>
      <c r="F16" s="16"/>
      <c r="G16" s="2"/>
      <c r="H16" s="2"/>
      <c r="I16" s="13"/>
      <c r="J16" s="6"/>
      <c r="K16" s="7"/>
      <c r="L16" s="7"/>
    </row>
    <row r="17">
      <c r="C17" s="16"/>
      <c r="D17" s="17"/>
      <c r="E17" s="13"/>
      <c r="F17" s="16"/>
      <c r="G17" s="2"/>
      <c r="H17" s="2"/>
      <c r="I17" s="13"/>
      <c r="J17" s="6"/>
      <c r="K17" s="7"/>
      <c r="L17" s="7"/>
    </row>
    <row r="18">
      <c r="C18" s="16"/>
      <c r="D18" s="17"/>
      <c r="E18" s="13"/>
      <c r="F18" s="16"/>
      <c r="G18" s="2"/>
      <c r="H18" s="2"/>
      <c r="I18" s="13"/>
      <c r="J18" s="6"/>
      <c r="K18" s="7"/>
      <c r="L18" s="7"/>
    </row>
    <row r="19">
      <c r="C19" s="16"/>
      <c r="D19" s="17"/>
      <c r="E19" s="13"/>
      <c r="F19" s="16"/>
      <c r="G19" s="2"/>
      <c r="H19" s="2"/>
      <c r="I19" s="13"/>
      <c r="J19" s="6"/>
      <c r="K19" s="7"/>
      <c r="L19" s="7"/>
    </row>
    <row r="20">
      <c r="C20" s="16"/>
      <c r="D20" s="17"/>
      <c r="E20" s="13"/>
      <c r="F20" s="17"/>
      <c r="G20" s="2"/>
      <c r="H20" s="2"/>
      <c r="I20" s="18"/>
      <c r="J20" s="18"/>
      <c r="K20" s="18"/>
      <c r="L20" s="18"/>
    </row>
  </sheetData>
  <mergeCells count="2">
    <mergeCell ref="C1:F1"/>
    <mergeCell ref="I1:L1"/>
  </mergeCells>
  <dataValidations>
    <dataValidation type="list" allowBlank="1" showInputMessage="1" prompt="Please select a category from the available list" sqref="E3:E20">
      <formula1>'Expense  Budget Summary'!$A$11:$A$17</formula1>
    </dataValidation>
    <dataValidation type="list" allowBlank="1" sqref="K3:K19">
      <formula1>'Expense  Budget Summary'!$F$11:$F$17</formula1>
    </dataValidation>
  </dataValidations>
  <drawing r:id="rId1"/>
</worksheet>
</file>