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Financial Statements" sheetId="1" r:id="rId5"/>
    <sheet state="visible" name="EXAMPLE Balance Sheet" sheetId="2" r:id="rId6"/>
    <sheet state="visible" name="EXAMPLE Cashflow Statement" sheetId="3" r:id="rId7"/>
    <sheet state="visible" name="Financial Statements" sheetId="4" r:id="rId8"/>
    <sheet state="visible" name="Balance Sheet" sheetId="5" r:id="rId9"/>
    <sheet state="visible" name="Cashflow Statement" sheetId="6" r:id="rId10"/>
    <sheet state="visible" name="- Disclaimer -" sheetId="7" r:id="rId11"/>
  </sheets>
  <definedNames/>
  <calcPr/>
</workbook>
</file>

<file path=xl/sharedStrings.xml><?xml version="1.0" encoding="utf-8"?>
<sst xmlns="http://schemas.openxmlformats.org/spreadsheetml/2006/main" count="659" uniqueCount="213">
  <si>
    <t xml:space="preserve"> </t>
  </si>
  <si>
    <t>Cash Flow Statement Example</t>
  </si>
  <si>
    <t>Balance Sheet Example</t>
  </si>
  <si>
    <t>Financial Statements Template</t>
  </si>
  <si>
    <t>Financial Statements Template Example</t>
  </si>
  <si>
    <t>Enter information in the non-shaded cells only.</t>
  </si>
  <si>
    <t>https://www.smartsheet.com/try-it?trp=8781&amp;utm_source=template-google-sheet&amp;utm_medium=content&amp;utm_campaign=Financial+Statements-google-sheet-8781&amp;lpa=Financial+Statements+google-sheet+8781</t>
  </si>
  <si>
    <t>BALANCE SHEET RATIOS</t>
  </si>
  <si>
    <t>CASH AT BEGINNING OF YEAR - MM/DD/YYYY</t>
  </si>
  <si>
    <t>Enter financial information in the non-shaded cells only.</t>
  </si>
  <si>
    <t>DETAILED PROFIT AND LOSS</t>
  </si>
  <si>
    <t>NET INCREASE IN CASH</t>
  </si>
  <si>
    <t>START OF FY</t>
  </si>
  <si>
    <t>Q2 TOTAL</t>
  </si>
  <si>
    <t>Q4 TOTAL</t>
  </si>
  <si>
    <t>JAN</t>
  </si>
  <si>
    <t>FEB</t>
  </si>
  <si>
    <t>MAR</t>
  </si>
  <si>
    <t>Q1 TOTAL</t>
  </si>
  <si>
    <t>APR</t>
  </si>
  <si>
    <t>MAY</t>
  </si>
  <si>
    <r>
      <rPr>
        <rFont val="Century Gothic"/>
        <b/>
        <color theme="1"/>
        <sz val="10.0"/>
      </rPr>
      <t>CURRENT RATIO</t>
    </r>
    <r>
      <rPr>
        <rFont val="Century Gothic"/>
        <b val="0"/>
        <color theme="1"/>
        <sz val="9.0"/>
      </rPr>
      <t xml:space="preserve">
(Current Assets/Current Liabilities)</t>
    </r>
  </si>
  <si>
    <t>CASH AT END OF YEAR - MM/DD/YYYY</t>
  </si>
  <si>
    <t>JUN</t>
  </si>
  <si>
    <t>JUL</t>
  </si>
  <si>
    <t>CASH FLOW FROM OPERATIONS</t>
  </si>
  <si>
    <t>AUG</t>
  </si>
  <si>
    <t>SEPT</t>
  </si>
  <si>
    <t>Q3 TOTAL</t>
  </si>
  <si>
    <r>
      <rPr>
        <rFont val="Century Gothic"/>
        <b/>
        <color theme="1"/>
        <sz val="11.0"/>
      </rPr>
      <t xml:space="preserve">CASH RECEIPTS FROM CUSTOMERS </t>
    </r>
    <r>
      <rPr>
        <rFont val="Century Gothic"/>
        <b val="0"/>
        <color theme="1"/>
        <sz val="10.0"/>
      </rPr>
      <t>(enter positive amounts)</t>
    </r>
  </si>
  <si>
    <t>OCT</t>
  </si>
  <si>
    <t>NOV</t>
  </si>
  <si>
    <t>DEC</t>
  </si>
  <si>
    <t>YR TOTAL</t>
  </si>
  <si>
    <t>CASH SALES</t>
  </si>
  <si>
    <t>GROSS PROFIT</t>
  </si>
  <si>
    <t>CASH COLLECTED FROM DEBTORS (CUSTOMERS)</t>
  </si>
  <si>
    <t xml:space="preserve">FUNDING FROM CREDITORS </t>
  </si>
  <si>
    <t>STOCK PURCHASED NOT YET PAID</t>
  </si>
  <si>
    <r>
      <rPr>
        <rFont val="Century Gothic"/>
        <b/>
        <color theme="1"/>
        <sz val="11.0"/>
      </rPr>
      <t xml:space="preserve">CASH PAID FOR </t>
    </r>
    <r>
      <rPr>
        <rFont val="Century Gothic"/>
        <b val="0"/>
        <color theme="1"/>
        <sz val="10.0"/>
      </rPr>
      <t>(enter negative amounts)</t>
    </r>
  </si>
  <si>
    <t>PROPERTY/EQUIPMENT PURCHASES</t>
  </si>
  <si>
    <t>INVESTMENT PURCHASES</t>
  </si>
  <si>
    <t>FUNDING TO DEBTORS</t>
  </si>
  <si>
    <t>SALES MADE NOT YET COLLECTED</t>
  </si>
  <si>
    <r>
      <rPr>
        <rFont val="Century Gothic"/>
        <b/>
        <color theme="1"/>
        <sz val="10.0"/>
      </rPr>
      <t>QUICK RATIO</t>
    </r>
    <r>
      <rPr>
        <rFont val="Century Gothic"/>
        <b val="0"/>
        <color theme="1"/>
        <sz val="9.0"/>
      </rPr>
      <t xml:space="preserve">
(Current Assets Less Inventory)/(Current Liabilities Less Bank Overdraft)</t>
    </r>
  </si>
  <si>
    <t>NET CASH FLOW FROM OPERATIONS</t>
  </si>
  <si>
    <t>INVESTING ACTIVITIES</t>
  </si>
  <si>
    <r>
      <rPr>
        <rFont val="Century Gothic"/>
        <b/>
        <color theme="1"/>
        <sz val="11.0"/>
      </rPr>
      <t xml:space="preserve">CASH RECEIPTS FROM </t>
    </r>
    <r>
      <rPr>
        <rFont val="Century Gothic"/>
        <b val="0"/>
        <color theme="1"/>
        <sz val="10.0"/>
      </rPr>
      <t>(enter positive amounts)</t>
    </r>
  </si>
  <si>
    <r>
      <rPr>
        <rFont val="Century Gothic"/>
        <b/>
        <color theme="1"/>
        <sz val="10.0"/>
      </rPr>
      <t>WORKING CAPITAL FUNDS</t>
    </r>
    <r>
      <rPr>
        <rFont val="Century Gothic"/>
        <b val="0"/>
        <color theme="1"/>
        <sz val="9.0"/>
      </rPr>
      <t xml:space="preserve">
(Current Assets Less Current Liabilities)</t>
    </r>
  </si>
  <si>
    <t>SALE OF PROPERTY/EQUIPMENT</t>
  </si>
  <si>
    <t>TOTAL EXPENSES</t>
  </si>
  <si>
    <t>MATURED INVESTMENTS</t>
  </si>
  <si>
    <r>
      <rPr>
        <rFont val="Century Gothic"/>
        <b/>
        <color theme="1"/>
        <sz val="11.0"/>
      </rPr>
      <t xml:space="preserve">CASH PAID FOR </t>
    </r>
    <r>
      <rPr>
        <rFont val="Century Gothic"/>
        <b val="0"/>
        <color theme="1"/>
        <sz val="10.0"/>
      </rPr>
      <t>(enter negative amounts)</t>
    </r>
  </si>
  <si>
    <t>PURCHASE OF PROPERTY/EQUIPMENT</t>
  </si>
  <si>
    <t>PURCHASE OF INVESTMENTS</t>
  </si>
  <si>
    <t>NET CASH FLOW FROM INVESTING ACTIVITIES</t>
  </si>
  <si>
    <t>FINANCING ACTIVITIES</t>
  </si>
  <si>
    <r>
      <rPr>
        <rFont val="Century Gothic"/>
        <b/>
        <color theme="1"/>
        <sz val="11.0"/>
      </rPr>
      <t xml:space="preserve">CASH RECEIPTS FROM </t>
    </r>
    <r>
      <rPr>
        <rFont val="Century Gothic"/>
        <b val="0"/>
        <color theme="1"/>
        <sz val="10.0"/>
      </rPr>
      <t>(enter positive amounts)</t>
    </r>
  </si>
  <si>
    <t>INCREASE IN SHORT-TERM DEBT</t>
  </si>
  <si>
    <t>INCREASE IN LONG-TERM DEBT</t>
  </si>
  <si>
    <t>INCREASE IN EQUITY (proceeds from owners)</t>
  </si>
  <si>
    <r>
      <rPr>
        <rFont val="Century Gothic"/>
        <b/>
        <color theme="1"/>
        <sz val="11.0"/>
      </rPr>
      <t xml:space="preserve">CASH PAID FOR </t>
    </r>
    <r>
      <rPr>
        <rFont val="Century Gothic"/>
        <b val="0"/>
        <color theme="1"/>
        <sz val="10.0"/>
      </rPr>
      <t>(enter negative amounts)</t>
    </r>
  </si>
  <si>
    <r>
      <rPr>
        <rFont val="Century Gothic"/>
        <b/>
        <color theme="1"/>
        <sz val="10.0"/>
      </rPr>
      <t>LEVERAGE RATIO</t>
    </r>
    <r>
      <rPr>
        <rFont val="Century Gothic"/>
        <b val="0"/>
        <color theme="1"/>
        <sz val="9.0"/>
      </rPr>
      <t xml:space="preserve">
(Total Liabilities/Total Assets)</t>
    </r>
  </si>
  <si>
    <t>LOAN REPAYMENT</t>
  </si>
  <si>
    <t>DIVIDENDS</t>
  </si>
  <si>
    <t>NET CASH FLOW FROM FINANCING ACTIVITIES</t>
  </si>
  <si>
    <r>
      <rPr>
        <rFont val="Century Gothic"/>
        <b/>
        <color theme="1"/>
        <sz val="10.0"/>
      </rPr>
      <t>DEBT-TO-EQUITY RATIO</t>
    </r>
    <r>
      <rPr>
        <rFont val="Century Gothic"/>
        <b val="0"/>
        <color theme="1"/>
        <sz val="9.0"/>
      </rPr>
      <t xml:space="preserve">
(Total Liabilities/Total Shareholders Funds)</t>
    </r>
  </si>
  <si>
    <t>ASSETS</t>
  </si>
  <si>
    <t>CURRENT ASSETS</t>
  </si>
  <si>
    <t>CASH ON HAND</t>
  </si>
  <si>
    <t>DEBTORS</t>
  </si>
  <si>
    <t>PREPAID EXPENSES</t>
  </si>
  <si>
    <t>GENERAL</t>
  </si>
  <si>
    <t>RATES</t>
  </si>
  <si>
    <t>WORK COVER</t>
  </si>
  <si>
    <t>INSURANCE</t>
  </si>
  <si>
    <t>OTHER</t>
  </si>
  <si>
    <t>TOTAL PREPAID EXPENSES</t>
  </si>
  <si>
    <t>MONTHLY NET PROFIT/(LOSS)</t>
  </si>
  <si>
    <t>INVENTORY</t>
  </si>
  <si>
    <t>ITEM CATEGORY 1</t>
  </si>
  <si>
    <t>ITEM CATEGORY 2</t>
  </si>
  <si>
    <t>TOTAL INVENTORY</t>
  </si>
  <si>
    <t>SHORT-TERM INVESTMENTS</t>
  </si>
  <si>
    <t>OTHER CURRENT ASSETS</t>
  </si>
  <si>
    <t>TOTAL CURRENT ASSETS</t>
  </si>
  <si>
    <t>FIXED ASSETS</t>
  </si>
  <si>
    <t>TECHNOLOGY</t>
  </si>
  <si>
    <t>FURNITURE/FIXTURES</t>
  </si>
  <si>
    <t>EQUIPMENT</t>
  </si>
  <si>
    <t>LEASE</t>
  </si>
  <si>
    <t>YEAR-TO-DATE NET PROFIT/(LOSS)</t>
  </si>
  <si>
    <t>BUILDINGS/IMPROVEMENTS</t>
  </si>
  <si>
    <t>TOTAL FIXED ASSETS</t>
  </si>
  <si>
    <t>TOTAL ASSETS</t>
  </si>
  <si>
    <t>LIABILITIES</t>
  </si>
  <si>
    <t>CURRENT LIABILITIES</t>
  </si>
  <si>
    <t>BANK OVERDRAFT</t>
  </si>
  <si>
    <t>CREDIT CARD DEBT</t>
  </si>
  <si>
    <t>CREDITORS</t>
  </si>
  <si>
    <t>INCREASES</t>
  </si>
  <si>
    <t>TAXES</t>
  </si>
  <si>
    <t>BENEFITS</t>
  </si>
  <si>
    <t>TOTAL CURRENT LIABILITIES</t>
  </si>
  <si>
    <t>LONG-TERM LIABILITIES</t>
  </si>
  <si>
    <t>VEHICLE LOAN</t>
  </si>
  <si>
    <t>EQUIPMENT FINANCE</t>
  </si>
  <si>
    <t>LONG-TERM LOANS</t>
  </si>
  <si>
    <t>TOTAL LONG-TERM LOANS</t>
  </si>
  <si>
    <t>TOTAL LIABILITIES</t>
  </si>
  <si>
    <t>PROFIT AND LOSS RATIOS</t>
  </si>
  <si>
    <t>NET ASSETS
(Assets Less Liabilities - Should Equal Total Shareholders Funds)</t>
  </si>
  <si>
    <t>EQUITY</t>
  </si>
  <si>
    <t>SHAREHOLDER FUNDS (EQUITY)</t>
  </si>
  <si>
    <r>
      <rPr>
        <rFont val="Century Gothic"/>
        <b/>
        <color theme="1"/>
        <sz val="10.0"/>
      </rPr>
      <t xml:space="preserve">GROSS MARGIN
</t>
    </r>
    <r>
      <rPr>
        <rFont val="Century Gothic"/>
        <b val="0"/>
        <color theme="1"/>
        <sz val="9.0"/>
      </rPr>
      <t>(Gross Profit/Net Income)</t>
    </r>
  </si>
  <si>
    <r>
      <rPr>
        <rFont val="Century Gothic"/>
        <b/>
        <color theme="1"/>
        <sz val="10.0"/>
      </rPr>
      <t xml:space="preserve">GROSS MARGIN
</t>
    </r>
    <r>
      <rPr>
        <rFont val="Century Gothic"/>
        <b val="0"/>
        <color theme="1"/>
        <sz val="9.0"/>
      </rPr>
      <t>(Gross Profit/Net Income)</t>
    </r>
  </si>
  <si>
    <t>OWNERS' FUNDS</t>
  </si>
  <si>
    <t>HELD EARNINGS</t>
  </si>
  <si>
    <t>CURRENT-YEAR PROFIT</t>
  </si>
  <si>
    <r>
      <rPr>
        <rFont val="Century Gothic"/>
        <b/>
        <color theme="1"/>
        <sz val="10.0"/>
      </rPr>
      <t>NET MARGIN</t>
    </r>
    <r>
      <rPr>
        <rFont val="Century Gothic"/>
        <b val="0"/>
        <color theme="1"/>
        <sz val="9.0"/>
      </rPr>
      <t xml:space="preserve">
(Net Profit/Net Income)</t>
    </r>
  </si>
  <si>
    <r>
      <rPr>
        <rFont val="Century Gothic"/>
        <b/>
        <color theme="1"/>
        <sz val="10.0"/>
      </rPr>
      <t>NET MARGIN</t>
    </r>
    <r>
      <rPr>
        <rFont val="Century Gothic"/>
        <b val="0"/>
        <color theme="1"/>
        <sz val="9.0"/>
      </rPr>
      <t xml:space="preserve">
(Net Profit/Net Income)</t>
    </r>
  </si>
  <si>
    <r>
      <rPr>
        <rFont val="Century Gothic"/>
        <b/>
        <color theme="1"/>
        <sz val="10.0"/>
      </rPr>
      <t>MARK-UP</t>
    </r>
    <r>
      <rPr>
        <rFont val="Century Gothic"/>
        <b val="0"/>
        <color theme="1"/>
        <sz val="9.0"/>
      </rPr>
      <t xml:space="preserve">
((Net Income Less Cost of Goods Sold)/(Cost of Goods Sold)) x 100</t>
    </r>
  </si>
  <si>
    <r>
      <rPr>
        <rFont val="Century Gothic"/>
        <b/>
        <color theme="1"/>
        <sz val="10.0"/>
      </rPr>
      <t>MARK-UP</t>
    </r>
    <r>
      <rPr>
        <rFont val="Century Gothic"/>
        <b val="0"/>
        <color theme="1"/>
        <sz val="9.0"/>
      </rPr>
      <t xml:space="preserve">
((Net Income Less Cost of Goods Sold)/(Cost of Goods Sold)) x 100</t>
    </r>
  </si>
  <si>
    <r>
      <rPr>
        <rFont val="Century Gothic"/>
        <b/>
        <color theme="1"/>
        <sz val="10.0"/>
      </rPr>
      <t>BREAK-EVEN</t>
    </r>
    <r>
      <rPr>
        <rFont val="Century Gothic"/>
        <b val="0"/>
        <color theme="1"/>
        <sz val="9.0"/>
      </rPr>
      <t xml:space="preserve">
(Expenses/((1-(Cost of Goods Sold/Net Income))</t>
    </r>
  </si>
  <si>
    <r>
      <rPr>
        <rFont val="Century Gothic"/>
        <b/>
        <color theme="1"/>
        <sz val="10.0"/>
      </rPr>
      <t>BREAK-EVEN</t>
    </r>
    <r>
      <rPr>
        <rFont val="Century Gothic"/>
        <b val="0"/>
        <color theme="1"/>
        <sz val="9.0"/>
      </rPr>
      <t xml:space="preserve">
(Expenses/((1-(Cost of Goods Sold/Net Income))</t>
    </r>
  </si>
  <si>
    <t>MONTHLY INCOME</t>
  </si>
  <si>
    <t>SALES</t>
  </si>
  <si>
    <t>SALES OF GOODS/SERVICES</t>
  </si>
  <si>
    <t>Balance Sheet</t>
  </si>
  <si>
    <r>
      <rPr>
        <rFont val="Century Gothic"/>
        <b/>
        <color theme="1"/>
        <sz val="10.0"/>
      </rPr>
      <t>CURRENT RATIO</t>
    </r>
    <r>
      <rPr>
        <rFont val="Century Gothic"/>
        <b val="0"/>
        <color theme="1"/>
        <sz val="9.0"/>
      </rPr>
      <t xml:space="preserve">
(Current Assets/Current Liabilities)</t>
    </r>
  </si>
  <si>
    <t>COMMISSIONS/FEES/ETC.</t>
  </si>
  <si>
    <r>
      <rPr>
        <rFont val="Century Gothic"/>
        <b/>
        <color theme="1"/>
        <sz val="10.0"/>
      </rPr>
      <t>QUICK RATIO</t>
    </r>
    <r>
      <rPr>
        <rFont val="Century Gothic"/>
        <b val="0"/>
        <color theme="1"/>
        <sz val="9.0"/>
      </rPr>
      <t xml:space="preserve">
(Current Assets Less Inventory)/(Current Liabilities Less Bank Overdraft)</t>
    </r>
  </si>
  <si>
    <r>
      <rPr>
        <rFont val="Century Gothic"/>
        <b/>
        <color theme="1"/>
        <sz val="10.0"/>
      </rPr>
      <t>WORKING CAPITAL FUNDS</t>
    </r>
    <r>
      <rPr>
        <rFont val="Century Gothic"/>
        <b val="0"/>
        <color theme="1"/>
        <sz val="9.0"/>
      </rPr>
      <t xml:space="preserve">
(Current Assets Less Current Liabilities)</t>
    </r>
  </si>
  <si>
    <t>TOTAL SALES</t>
  </si>
  <si>
    <r>
      <rPr>
        <rFont val="Century Gothic"/>
        <b/>
        <color theme="1"/>
        <sz val="10.0"/>
      </rPr>
      <t>LEVERAGE RATIO</t>
    </r>
    <r>
      <rPr>
        <rFont val="Century Gothic"/>
        <b val="0"/>
        <color theme="1"/>
        <sz val="9.0"/>
      </rPr>
      <t xml:space="preserve">
(Total Liabilities/Total Assets)</t>
    </r>
  </si>
  <si>
    <r>
      <rPr>
        <rFont val="Century Gothic"/>
        <b/>
        <color theme="1"/>
        <sz val="10.0"/>
      </rPr>
      <t>DEBT-TO-EQUITY RATIO</t>
    </r>
    <r>
      <rPr>
        <rFont val="Century Gothic"/>
        <b val="0"/>
        <color theme="1"/>
        <sz val="9.0"/>
      </rPr>
      <t xml:space="preserve">
(Total Liabilities/Total Shareholders Funds)</t>
    </r>
  </si>
  <si>
    <t>LESS DISCOUNTS/COMMISSIONS</t>
  </si>
  <si>
    <t>DISCOUNTS GIVEN</t>
  </si>
  <si>
    <t>COMMISSIONS PAID</t>
  </si>
  <si>
    <t>TOTAL DISCOUNTS/COMMISSIONS</t>
  </si>
  <si>
    <t>TOTAL NET INCOME</t>
  </si>
  <si>
    <r>
      <rPr>
        <rFont val="Century Gothic"/>
        <b/>
        <color theme="1"/>
        <sz val="11.0"/>
      </rPr>
      <t xml:space="preserve">COGS </t>
    </r>
    <r>
      <rPr>
        <rFont val="Century Gothic"/>
        <b/>
        <color theme="1"/>
        <sz val="8.0"/>
      </rPr>
      <t>Cost of Goods Sold</t>
    </r>
  </si>
  <si>
    <t>Cash Flow Statement</t>
  </si>
  <si>
    <t>OPENING STOCK</t>
  </si>
  <si>
    <r>
      <rPr>
        <rFont val="Century Gothic"/>
        <b/>
        <color theme="1"/>
        <sz val="11.0"/>
      </rPr>
      <t xml:space="preserve">COGS </t>
    </r>
    <r>
      <rPr>
        <rFont val="Century Gothic"/>
        <b/>
        <color theme="1"/>
        <sz val="8.0"/>
      </rPr>
      <t>Cost of Goods Sold</t>
    </r>
  </si>
  <si>
    <t>STOCK PURCHASED</t>
  </si>
  <si>
    <t>SUBTOTAL COGS</t>
  </si>
  <si>
    <r>
      <rPr>
        <rFont val="Century Gothic"/>
        <b/>
        <color theme="1"/>
        <sz val="11.0"/>
      </rPr>
      <t xml:space="preserve">CASH RECEIPTS FROM CUSTOMERS </t>
    </r>
    <r>
      <rPr>
        <rFont val="Century Gothic"/>
        <b val="0"/>
        <color theme="1"/>
        <sz val="10.0"/>
      </rPr>
      <t>(enter positive amounts)</t>
    </r>
  </si>
  <si>
    <r>
      <rPr>
        <rFont val="Century Gothic"/>
        <b/>
        <color theme="1"/>
        <sz val="11.0"/>
      </rPr>
      <t xml:space="preserve">CASH PAID FOR </t>
    </r>
    <r>
      <rPr>
        <rFont val="Century Gothic"/>
        <b val="0"/>
        <color theme="1"/>
        <sz val="10.0"/>
      </rPr>
      <t>(enter negative amounts)</t>
    </r>
  </si>
  <si>
    <t>LESS CLOSING STOCK</t>
  </si>
  <si>
    <r>
      <rPr>
        <rFont val="Century Gothic"/>
        <b/>
        <color theme="1"/>
        <sz val="11.0"/>
      </rPr>
      <t xml:space="preserve">CASH RECEIPTS FROM </t>
    </r>
    <r>
      <rPr>
        <rFont val="Century Gothic"/>
        <b val="0"/>
        <color theme="1"/>
        <sz val="10.0"/>
      </rPr>
      <t>(enter positive amounts)</t>
    </r>
  </si>
  <si>
    <r>
      <rPr>
        <rFont val="Century Gothic"/>
        <b/>
        <color theme="1"/>
        <sz val="11.0"/>
      </rPr>
      <t xml:space="preserve">CASH PAID FOR </t>
    </r>
    <r>
      <rPr>
        <rFont val="Century Gothic"/>
        <b val="0"/>
        <color theme="1"/>
        <sz val="10.0"/>
      </rPr>
      <t>(enter negative amounts)</t>
    </r>
  </si>
  <si>
    <t>TOTAL COGS</t>
  </si>
  <si>
    <r>
      <rPr>
        <rFont val="Century Gothic"/>
        <b/>
        <color theme="1"/>
        <sz val="11.0"/>
      </rPr>
      <t xml:space="preserve">CASH RECEIPTS FROM </t>
    </r>
    <r>
      <rPr>
        <rFont val="Century Gothic"/>
        <b val="0"/>
        <color theme="1"/>
        <sz val="10.0"/>
      </rPr>
      <t>(enter positive amounts)</t>
    </r>
  </si>
  <si>
    <r>
      <rPr>
        <rFont val="Century Gothic"/>
        <b/>
        <color theme="1"/>
        <sz val="11.0"/>
      </rPr>
      <t xml:space="preserve">CASH PAID FOR </t>
    </r>
    <r>
      <rPr>
        <rFont val="Century Gothic"/>
        <b val="0"/>
        <color theme="1"/>
        <sz val="10.0"/>
      </rPr>
      <t>(enter negative amounts)</t>
    </r>
  </si>
  <si>
    <t>EXPENSES - OPERATIONAL</t>
  </si>
  <si>
    <t>GENERAL/ADMIN</t>
  </si>
  <si>
    <t>BANKING FEES</t>
  </si>
  <si>
    <t>CONSULT FEES</t>
  </si>
  <si>
    <t>OFFICE SUPPLIES</t>
  </si>
  <si>
    <t>LICENSE FEES</t>
  </si>
  <si>
    <t>BUSINESS INSURANCE</t>
  </si>
  <si>
    <t>TOTAL GENERAL/ADMIN</t>
  </si>
  <si>
    <t>OPERATIONS</t>
  </si>
  <si>
    <t>TRAVEL</t>
  </si>
  <si>
    <t>LAUNDRY</t>
  </si>
  <si>
    <t>TRANSPORTATION</t>
  </si>
  <si>
    <t>CLEANING SVCS &amp; SUPPLIES</t>
  </si>
  <si>
    <t>SUBSCRIPTIONS</t>
  </si>
  <si>
    <t>KITCHENETTE/COFFEE/SNACKS</t>
  </si>
  <si>
    <t>KITCHENETTE EQUIPMENT</t>
  </si>
  <si>
    <t>TOTAL OPERATIONS</t>
  </si>
  <si>
    <t>MARKETING/PROMO</t>
  </si>
  <si>
    <t>ADVERTISING</t>
  </si>
  <si>
    <t>PROMO</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</si>
  <si>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</si>
  <si>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TOTAL MARKETING/PROMO</t>
  </si>
  <si>
    <t>WEBSITE/MOBILE APP</t>
  </si>
  <si>
    <t>DOMAIN</t>
  </si>
  <si>
    <t>HOSTING</t>
  </si>
  <si>
    <t>TOTAL WEBSITE/MOBILE APP</t>
  </si>
  <si>
    <t>OCCUPANCY</t>
  </si>
  <si>
    <t>RENT/LEASE</t>
  </si>
  <si>
    <t>PHONE</t>
  </si>
  <si>
    <t>INTERNET</t>
  </si>
  <si>
    <t>ELECTRIC</t>
  </si>
  <si>
    <t>GAS</t>
  </si>
  <si>
    <t>WATER/SEWAGE</t>
  </si>
  <si>
    <t>WASTE REMOVAL</t>
  </si>
  <si>
    <t>RECYCLING/SHREDDING</t>
  </si>
  <si>
    <t>REPAIR/MAINTENANCE</t>
  </si>
  <si>
    <t>PROPERTY INSURANCE</t>
  </si>
  <si>
    <t>SECURITY</t>
  </si>
  <si>
    <t>TOTAL OCCUPANCY</t>
  </si>
  <si>
    <t>AUTOMOTIVE</t>
  </si>
  <si>
    <t>FUEL</t>
  </si>
  <si>
    <t>SERVICE</t>
  </si>
  <si>
    <t>PARTS/MAINTENANCE</t>
  </si>
  <si>
    <t>REGISTRATION</t>
  </si>
  <si>
    <t>TOTAL AUTOMOTIVE</t>
  </si>
  <si>
    <t>ADDITIONAL</t>
  </si>
  <si>
    <t>TOTAL ADDITIONAL</t>
  </si>
  <si>
    <t>TOTAL EXPENSES - OPERATIONAL</t>
  </si>
  <si>
    <t>EXPENSES - EMPLOYMENT</t>
  </si>
  <si>
    <t>PERMANENT</t>
  </si>
  <si>
    <t>SALARIES/WAGES</t>
  </si>
  <si>
    <t>BONUS PAY</t>
  </si>
  <si>
    <t>RECRUITMENT</t>
  </si>
  <si>
    <t>TOTAL PERMANENT EMPLOYMENT</t>
  </si>
  <si>
    <t>CASUAL</t>
  </si>
  <si>
    <t>TOTAL CASUAL EMPLOYMENT</t>
  </si>
  <si>
    <t>TOTAL EXPENSES - EMPLOYMENT</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</si>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</sst>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0.0000"/>
  </numFmts>
  <fonts count="33">
    <font>
      <sz val="12.0"/>
      <color theme="1"/>
      <name val="Calibri"/>
      <scheme val="minor"/>
    </font>
    <font>
      <sz val="22.0"/>
      <color rgb="FF595959"/>
      <name val="Century Gothic"/>
    </font>
    <font>
      <sz val="12.0"/>
      <color theme="1"/>
      <name val="Arial"/>
    </font>
    <font>
      <b/>
      <sz val="22.0"/>
      <color rgb="FF595959"/>
      <name val="Century Gothic"/>
    </font>
    <font>
      <b/>
      <sz val="22.0"/>
      <color rgb="FF1E4E79"/>
      <name val="Century Gothic"/>
    </font>
    <font>
      <sz val="12.0"/>
      <color theme="1"/>
      <name val="Century Gothic"/>
    </font>
    <font>
      <sz val="14.0"/>
      <color rgb="FF595959"/>
      <name val="Century Gothic"/>
    </font>
    <font>
      <sz val="22.0"/>
      <color rgb="FF7F7F7F"/>
      <name val="Century Gothic"/>
    </font>
    <font>
      <sz val="12.0"/>
      <color rgb="FF2E75B5"/>
      <name val="Century Gothic"/>
    </font>
    <font>
      <sz val="12.0"/>
      <color rgb="FF595959"/>
      <name val="Century Gothic"/>
    </font>
    <font>
      <sz val="12.0"/>
      <color rgb="FF2F5496"/>
      <name val="Century Gothic"/>
    </font>
    <font>
      <sz val="14.0"/>
      <color theme="1"/>
      <name val="Century Gothic"/>
    </font>
    <font>
      <sz val="12.0"/>
      <color theme="0"/>
      <name val="Century Gothic"/>
    </font>
    <font>
      <u/>
      <sz val="12.0"/>
      <color rgb="FFFFFFFF"/>
      <name val="Century Gothic"/>
    </font>
    <font>
      <sz val="14.0"/>
      <color theme="0"/>
      <name val="Century Gothic"/>
    </font>
    <font>
      <b/>
      <sz val="12.0"/>
      <color theme="0"/>
      <name val="Century Gothic"/>
    </font>
    <font>
      <b/>
      <sz val="10.0"/>
      <color theme="1"/>
      <name val="Century Gothic"/>
    </font>
    <font>
      <sz val="10.0"/>
      <color theme="0"/>
      <name val="Century Gothic"/>
    </font>
    <font>
      <b/>
      <sz val="11.0"/>
      <color theme="1"/>
      <name val="Century Gothic"/>
    </font>
    <font>
      <sz val="10.0"/>
      <color theme="1"/>
      <name val="Calibri"/>
    </font>
    <font>
      <sz val="12.0"/>
      <color theme="1"/>
      <name val="Calibri"/>
    </font>
    <font>
      <sz val="10.0"/>
      <color theme="1"/>
      <name val="Century Gothic"/>
    </font>
    <font>
      <sz val="10.0"/>
      <color rgb="FF595959"/>
      <name val="Century Gothic"/>
    </font>
    <font>
      <b/>
      <sz val="12.0"/>
      <color theme="1"/>
      <name val="Calibri"/>
    </font>
    <font>
      <b/>
      <sz val="10.0"/>
      <color theme="0"/>
      <name val="Century Gothic"/>
    </font>
    <font>
      <sz val="9.0"/>
      <color theme="1"/>
      <name val="Century Gothic"/>
    </font>
    <font>
      <b/>
      <sz val="9.0"/>
      <color theme="1"/>
      <name val="Century Gothic"/>
    </font>
    <font>
      <b/>
      <sz val="10.0"/>
      <color theme="1"/>
      <name val="Calibri"/>
    </font>
    <font>
      <sz val="14.0"/>
      <color theme="1"/>
      <name val="Calibri"/>
    </font>
    <font/>
    <font>
      <sz val="11.0"/>
      <color theme="1"/>
      <name val="Calibri"/>
    </font>
    <font>
      <sz val="12.0"/>
      <color rgb="FF000000"/>
      <name val="Arial"/>
    </font>
    <font>
      <b/>
      <u/>
      <sz val="22.0"/>
      <color rgb="FFFFFFFF"/>
      <name val="Century Gothic"/>
    </font>
  </fonts>
  <fills count="32">
    <fill>
      <patternFill patternType="none"/>
    </fill>
    <fill>
      <patternFill patternType="lightGray"/>
    </fill>
    <fill>
      <patternFill patternType="solid">
        <fgColor theme="0"/>
        <bgColor theme="0"/>
      </patternFill>
    </fill>
    <fill>
      <patternFill patternType="solid">
        <fgColor rgb="FF1E4E79"/>
        <bgColor rgb="FF1E4E79"/>
      </patternFill>
    </fill>
    <fill>
      <patternFill patternType="solid">
        <fgColor rgb="FF595959"/>
        <bgColor rgb="FF595959"/>
      </patternFill>
    </fill>
    <fill>
      <patternFill patternType="solid">
        <fgColor rgb="FF833C0B"/>
        <bgColor rgb="FF833C0B"/>
      </patternFill>
    </fill>
    <fill>
      <patternFill patternType="solid">
        <fgColor rgb="FF2E75B5"/>
        <bgColor rgb="FF2E75B5"/>
      </patternFill>
    </fill>
    <fill>
      <patternFill patternType="solid">
        <fgColor rgb="FFC55A11"/>
        <bgColor rgb="FFC55A11"/>
      </patternFill>
    </fill>
    <fill>
      <patternFill patternType="solid">
        <fgColor rgb="FF525252"/>
        <bgColor rgb="FF525252"/>
      </patternFill>
    </fill>
    <fill>
      <patternFill patternType="solid">
        <fgColor rgb="FFDEEAF6"/>
        <bgColor rgb="FFDEEAF6"/>
      </patternFill>
    </fill>
    <fill>
      <patternFill patternType="solid">
        <fgColor rgb="FF7B7B7B"/>
        <bgColor rgb="FF7B7B7B"/>
      </patternFill>
    </fill>
    <fill>
      <patternFill patternType="solid">
        <fgColor rgb="FF7F6000"/>
        <bgColor rgb="FF7F6000"/>
      </patternFill>
    </fill>
    <fill>
      <patternFill patternType="solid">
        <fgColor rgb="FF2F5496"/>
        <bgColor rgb="FF2F5496"/>
      </patternFill>
    </fill>
    <fill>
      <patternFill patternType="solid">
        <fgColor rgb="FFBF9000"/>
        <bgColor rgb="FFBF9000"/>
      </patternFill>
    </fill>
    <fill>
      <patternFill patternType="solid">
        <fgColor rgb="FF1F3864"/>
        <bgColor rgb="FF1F3864"/>
      </patternFill>
    </fill>
    <fill>
      <patternFill patternType="solid">
        <fgColor rgb="FF7F7F7F"/>
        <bgColor rgb="FF7F7F7F"/>
      </patternFill>
    </fill>
    <fill>
      <patternFill patternType="solid">
        <fgColor theme="8"/>
        <bgColor theme="8"/>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D9E2F3"/>
        <bgColor rgb="FFD9E2F3"/>
      </patternFill>
    </fill>
    <fill>
      <patternFill patternType="solid">
        <fgColor rgb="FFF7CAAC"/>
        <bgColor rgb="FFF7CAAC"/>
      </patternFill>
    </fill>
    <fill>
      <patternFill patternType="solid">
        <fgColor rgb="FFD8D8D8"/>
        <bgColor rgb="FFD8D8D8"/>
      </patternFill>
    </fill>
    <fill>
      <patternFill patternType="solid">
        <fgColor rgb="FFFFE598"/>
        <bgColor rgb="FFFFE598"/>
      </patternFill>
    </fill>
    <fill>
      <patternFill patternType="solid">
        <fgColor rgb="FFBDD6EE"/>
        <bgColor rgb="FFBDD6EE"/>
      </patternFill>
    </fill>
    <fill>
      <patternFill patternType="solid">
        <fgColor rgb="FFB4C6E7"/>
        <bgColor rgb="FFB4C6E7"/>
      </patternFill>
    </fill>
    <fill>
      <patternFill patternType="solid">
        <fgColor rgb="FFDADADA"/>
        <bgColor rgb="FFDADADA"/>
      </patternFill>
    </fill>
    <fill>
      <patternFill patternType="solid">
        <fgColor rgb="FFF2F2F2"/>
        <bgColor rgb="FFF2F2F2"/>
      </patternFill>
    </fill>
    <fill>
      <patternFill patternType="solid">
        <fgColor rgb="FF00BD32"/>
        <bgColor rgb="FF00BD32"/>
      </patternFill>
    </fill>
  </fills>
  <borders count="31">
    <border/>
    <border>
      <left style="thin">
        <color rgb="FFBFBFBF"/>
      </left>
      <right style="thin">
        <color rgb="FFBFBFBF"/>
      </right>
      <top style="thin">
        <color rgb="FFBFBFBF"/>
      </top>
      <bottom style="thin">
        <color rgb="FFBFBFBF"/>
      </bottom>
    </border>
    <border>
      <bottom style="thin">
        <color rgb="FFF2F2F2"/>
      </bottom>
    </border>
    <border>
      <left/>
      <right/>
      <top/>
      <bottom/>
    </border>
    <border>
      <left/>
      <right style="thin">
        <color rgb="FFF2F2F2"/>
      </right>
      <top/>
      <bottom style="thin">
        <color rgb="FFF2F2F2"/>
      </bottom>
    </border>
    <border>
      <left style="thin">
        <color rgb="FFF2F2F2"/>
      </left>
      <right style="thin">
        <color rgb="FFF2F2F2"/>
      </right>
      <top style="thin">
        <color rgb="FFF2F2F2"/>
      </top>
      <bottom style="thin">
        <color rgb="FFF2F2F2"/>
      </bottom>
    </border>
    <border>
      <left style="thin">
        <color rgb="FFF2F2F2"/>
      </left>
      <right style="double">
        <color rgb="FFF2F2F2"/>
      </right>
      <top style="thin">
        <color rgb="FFF2F2F2"/>
      </top>
      <bottom style="thin">
        <color rgb="FFF2F2F2"/>
      </bottom>
    </border>
    <border>
      <left/>
      <right style="thin">
        <color rgb="FFF2F2F2"/>
      </right>
      <top style="thin">
        <color rgb="FFF2F2F2"/>
      </top>
      <bottom style="thin">
        <color rgb="FFF2F2F2"/>
      </bottom>
    </border>
    <border>
      <left style="thin">
        <color rgb="FFBFBFBF"/>
      </left>
    </border>
    <border>
      <left style="thin">
        <color rgb="FFF2F2F2"/>
      </left>
      <right style="thin">
        <color rgb="FFF2F2F2"/>
      </right>
      <top/>
      <bottom style="double">
        <color rgb="FFF2F2F2"/>
      </bottom>
    </border>
    <border>
      <left style="thin">
        <color rgb="FFF2F2F2"/>
      </left>
      <right style="double">
        <color rgb="FFF2F2F2"/>
      </right>
      <top/>
      <bottom style="double">
        <color rgb="FFF2F2F2"/>
      </bottom>
    </border>
    <border>
      <left/>
      <right style="thin">
        <color rgb="FFF2F2F2"/>
      </right>
      <top/>
      <bottom style="double">
        <color rgb="FFF2F2F2"/>
      </bottom>
    </border>
    <border>
      <left/>
      <right style="thin">
        <color rgb="FFF2F2F2"/>
      </right>
      <top/>
      <bottom/>
    </border>
    <border>
      <left style="thin">
        <color rgb="FFF2F2F2"/>
      </left>
      <right style="double">
        <color rgb="FFF2F2F2"/>
      </right>
      <top style="thin">
        <color rgb="FFF2F2F2"/>
      </top>
      <bottom/>
    </border>
    <border>
      <left style="thin">
        <color rgb="FFF2F2F2"/>
      </left>
      <right style="thin">
        <color rgb="FFF2F2F2"/>
      </right>
      <top style="double">
        <color rgb="FFF2F2F2"/>
      </top>
      <bottom style="thick">
        <color rgb="FFF2F2F2"/>
      </bottom>
    </border>
    <border>
      <left style="thin">
        <color rgb="FFF2F2F2"/>
      </left>
      <right style="double">
        <color rgb="FFF2F2F2"/>
      </right>
      <top style="double">
        <color rgb="FFF2F2F2"/>
      </top>
      <bottom style="thick">
        <color rgb="FFF2F2F2"/>
      </bottom>
    </border>
    <border>
      <left/>
      <right style="thin">
        <color rgb="FFF2F2F2"/>
      </right>
      <top style="double">
        <color rgb="FFF2F2F2"/>
      </top>
      <bottom style="thick">
        <color rgb="FFF2F2F2"/>
      </bottom>
    </border>
    <border>
      <left style="thin">
        <color rgb="FFF2F2F2"/>
      </left>
      <right style="thin">
        <color rgb="FFF2F2F2"/>
      </right>
      <top/>
      <bottom style="medium">
        <color rgb="FFF2F2F2"/>
      </bottom>
    </border>
    <border>
      <left style="thin">
        <color rgb="FFF2F2F2"/>
      </left>
      <right style="thin">
        <color rgb="FFF2F2F2"/>
      </right>
      <top/>
      <bottom style="thin">
        <color rgb="FFF2F2F2"/>
      </bottom>
    </border>
    <border>
      <left/>
      <right style="thin">
        <color rgb="FFF2F2F2"/>
      </right>
      <top/>
      <bottom style="medium">
        <color rgb="FFF2F2F2"/>
      </bottom>
    </border>
    <border>
      <left/>
      <right/>
      <top/>
      <bottom style="dotted">
        <color rgb="FFBFBFBF"/>
      </bottom>
    </border>
    <border>
      <left style="thin">
        <color rgb="FFF2F2F2"/>
      </left>
      <right style="thin">
        <color rgb="FFF2F2F2"/>
      </right>
      <top/>
    </border>
    <border>
      <left style="thin">
        <color rgb="FFF2F2F2"/>
      </left>
      <right style="thin">
        <color rgb="FFF2F2F2"/>
      </right>
    </border>
    <border>
      <left style="thin">
        <color rgb="FFF2F2F2"/>
      </left>
      <right style="thin">
        <color rgb="FFF2F2F2"/>
      </right>
      <bottom style="thin">
        <color rgb="FFF2F2F2"/>
      </bottom>
    </border>
    <border>
      <left style="thin">
        <color rgb="FFF2F2F2"/>
      </left>
      <right style="thin">
        <color rgb="FFF2F2F2"/>
      </right>
      <top style="thin">
        <color rgb="FFF2F2F2"/>
      </top>
      <bottom style="medium">
        <color rgb="FFF2F2F2"/>
      </bottom>
    </border>
    <border>
      <left style="thin">
        <color rgb="FFF2F2F2"/>
      </left>
      <right style="double">
        <color rgb="FFF2F2F2"/>
      </right>
      <top style="thin">
        <color rgb="FFF2F2F2"/>
      </top>
      <bottom style="medium">
        <color rgb="FFF2F2F2"/>
      </bottom>
    </border>
    <border>
      <left/>
      <right style="thin">
        <color rgb="FFF2F2F2"/>
      </right>
      <top style="thin">
        <color rgb="FFF2F2F2"/>
      </top>
      <bottom style="medium">
        <color rgb="FFF2F2F2"/>
      </bottom>
    </border>
    <border>
      <left style="thick">
        <color rgb="FFA5A5A5"/>
      </left>
    </border>
    <border>
      <left/>
      <top/>
      <bottom/>
    </border>
    <border>
      <top/>
      <bottom/>
    </border>
    <border>
      <right/>
      <top/>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vertical="center"/>
    </xf>
    <xf borderId="0" fillId="0" fontId="3" numFmtId="0" xfId="0" applyAlignment="1" applyFont="1">
      <alignment vertical="center"/>
    </xf>
    <xf borderId="0" fillId="0" fontId="4" numFmtId="0" xfId="0" applyAlignment="1" applyFont="1">
      <alignment vertical="center"/>
    </xf>
    <xf borderId="0" fillId="0" fontId="5" numFmtId="0" xfId="0" applyFont="1"/>
    <xf borderId="0" fillId="0" fontId="6" numFmtId="0" xfId="0" applyAlignment="1" applyFont="1">
      <alignment horizontal="left" vertical="center"/>
    </xf>
    <xf borderId="0" fillId="0" fontId="7" numFmtId="0" xfId="0" applyAlignment="1" applyFont="1">
      <alignment shrinkToFit="0" vertical="center" wrapText="1"/>
    </xf>
    <xf borderId="0" fillId="0" fontId="5" numFmtId="0" xfId="0" applyAlignment="1" applyFont="1">
      <alignment horizontal="center" vertical="center"/>
    </xf>
    <xf borderId="0" fillId="0" fontId="1" numFmtId="0" xfId="0" applyAlignment="1" applyFont="1">
      <alignment horizontal="left"/>
    </xf>
    <xf borderId="1" fillId="2" fontId="8" numFmtId="0" xfId="0" applyAlignment="1" applyBorder="1" applyFill="1" applyFont="1">
      <alignment horizontal="left" vertical="center"/>
    </xf>
    <xf borderId="2" fillId="0" fontId="6" numFmtId="0" xfId="0" applyAlignment="1" applyBorder="1" applyFont="1">
      <alignment horizontal="left" vertical="center"/>
    </xf>
    <xf borderId="1" fillId="2" fontId="9" numFmtId="164" xfId="0" applyAlignment="1" applyBorder="1" applyFont="1" applyNumberFormat="1">
      <alignment horizontal="center" vertical="center"/>
    </xf>
    <xf borderId="0" fillId="0" fontId="1" numFmtId="0" xfId="0" applyAlignment="1" applyFont="1">
      <alignment horizontal="left" vertical="center"/>
    </xf>
    <xf borderId="0" fillId="0" fontId="10" numFmtId="0" xfId="0" applyAlignment="1" applyFont="1">
      <alignment horizontal="left" vertical="center"/>
    </xf>
    <xf borderId="3" fillId="2" fontId="5" numFmtId="0" xfId="0" applyAlignment="1" applyBorder="1" applyFont="1">
      <alignment horizontal="left" vertical="center"/>
    </xf>
    <xf borderId="0" fillId="0" fontId="11" numFmtId="0" xfId="0" applyAlignment="1" applyFont="1">
      <alignment horizontal="center" vertical="center"/>
    </xf>
    <xf borderId="1" fillId="3" fontId="12" numFmtId="0" xfId="0" applyAlignment="1" applyBorder="1" applyFill="1" applyFont="1">
      <alignment horizontal="center" vertical="center"/>
    </xf>
    <xf borderId="1" fillId="4" fontId="12" numFmtId="0" xfId="0" applyAlignment="1" applyBorder="1" applyFill="1" applyFont="1">
      <alignment horizontal="center" vertical="center"/>
    </xf>
    <xf borderId="0" fillId="0" fontId="13" numFmtId="0" xfId="0" applyAlignment="1" applyFont="1">
      <alignment readingOrder="0"/>
    </xf>
    <xf borderId="4" fillId="2" fontId="11" numFmtId="0" xfId="0" applyAlignment="1" applyBorder="1" applyFont="1">
      <alignment horizontal="left" vertical="center"/>
    </xf>
    <xf borderId="5" fillId="5" fontId="14" numFmtId="0" xfId="0" applyAlignment="1" applyBorder="1" applyFill="1" applyFont="1">
      <alignment horizontal="center" vertical="center"/>
    </xf>
    <xf borderId="1" fillId="6" fontId="12" numFmtId="0" xfId="0" applyAlignment="1" applyBorder="1" applyFill="1" applyFont="1">
      <alignment horizontal="center" vertical="center"/>
    </xf>
    <xf borderId="6" fillId="7" fontId="14" numFmtId="0" xfId="0" applyAlignment="1" applyBorder="1" applyFill="1" applyFont="1">
      <alignment horizontal="center" vertical="center"/>
    </xf>
    <xf borderId="1" fillId="3" fontId="15" numFmtId="164" xfId="0" applyAlignment="1" applyBorder="1" applyFont="1" applyNumberFormat="1">
      <alignment horizontal="center" vertical="center"/>
    </xf>
    <xf borderId="7" fillId="8" fontId="14" numFmtId="0" xfId="0" applyAlignment="1" applyBorder="1" applyFill="1" applyFont="1">
      <alignment horizontal="center" vertical="center"/>
    </xf>
    <xf borderId="5" fillId="8" fontId="14" numFmtId="0" xfId="0" applyAlignment="1" applyBorder="1" applyFont="1">
      <alignment horizontal="center" vertical="center"/>
    </xf>
    <xf borderId="1" fillId="9" fontId="16" numFmtId="0" xfId="0" applyAlignment="1" applyBorder="1" applyFill="1" applyFont="1">
      <alignment horizontal="right" shrinkToFit="0" vertical="center" wrapText="1"/>
    </xf>
    <xf borderId="6" fillId="10" fontId="14" numFmtId="0" xfId="0" applyAlignment="1" applyBorder="1" applyFill="1" applyFont="1">
      <alignment horizontal="center" vertical="center"/>
    </xf>
    <xf borderId="7" fillId="11" fontId="14" numFmtId="0" xfId="0" applyAlignment="1" applyBorder="1" applyFill="1" applyFont="1">
      <alignment horizontal="center" vertical="center"/>
    </xf>
    <xf borderId="5" fillId="11" fontId="14" numFmtId="0" xfId="0" applyAlignment="1" applyBorder="1" applyFont="1">
      <alignment horizontal="center" vertical="center"/>
    </xf>
    <xf borderId="1" fillId="12" fontId="17" numFmtId="165" xfId="0" applyAlignment="1" applyBorder="1" applyFill="1" applyFont="1" applyNumberFormat="1">
      <alignment horizontal="center" vertical="center"/>
    </xf>
    <xf borderId="6" fillId="13" fontId="14" numFmtId="0" xfId="0" applyAlignment="1" applyBorder="1" applyFill="1" applyFont="1">
      <alignment horizontal="center" vertical="center"/>
    </xf>
    <xf borderId="1" fillId="9" fontId="18" numFmtId="0" xfId="0" applyAlignment="1" applyBorder="1" applyFont="1">
      <alignment horizontal="left" vertical="center"/>
    </xf>
    <xf borderId="7" fillId="3" fontId="14" numFmtId="0" xfId="0" applyAlignment="1" applyBorder="1" applyFont="1">
      <alignment horizontal="center" vertical="center"/>
    </xf>
    <xf borderId="1" fillId="2" fontId="19" numFmtId="164" xfId="0" applyAlignment="1" applyBorder="1" applyFont="1" applyNumberFormat="1">
      <alignment vertical="center"/>
    </xf>
    <xf borderId="5" fillId="3" fontId="14" numFmtId="0" xfId="0" applyAlignment="1" applyBorder="1" applyFont="1">
      <alignment horizontal="center" vertical="center"/>
    </xf>
    <xf borderId="8" fillId="0" fontId="20" numFmtId="0" xfId="0" applyBorder="1" applyFont="1"/>
    <xf borderId="6" fillId="6" fontId="14" numFmtId="0" xfId="0" applyAlignment="1" applyBorder="1" applyFont="1">
      <alignment horizontal="center" vertical="center"/>
    </xf>
    <xf borderId="7" fillId="14" fontId="14" numFmtId="0" xfId="0" applyAlignment="1" applyBorder="1" applyFill="1" applyFont="1">
      <alignment horizontal="center" vertical="center"/>
    </xf>
    <xf borderId="1" fillId="9" fontId="21" numFmtId="0" xfId="0" applyAlignment="1" applyBorder="1" applyFont="1">
      <alignment horizontal="left" vertical="center"/>
    </xf>
    <xf borderId="1" fillId="15" fontId="17" numFmtId="165" xfId="0" applyAlignment="1" applyBorder="1" applyFill="1" applyFont="1" applyNumberFormat="1">
      <alignment horizontal="center" vertical="center"/>
    </xf>
    <xf borderId="5" fillId="9" fontId="16" numFmtId="0" xfId="0" applyAlignment="1" applyBorder="1" applyFont="1">
      <alignment horizontal="right" vertical="center"/>
    </xf>
    <xf borderId="1" fillId="2" fontId="22" numFmtId="164" xfId="0" applyAlignment="1" applyBorder="1" applyFont="1" applyNumberFormat="1">
      <alignment vertical="center"/>
    </xf>
    <xf borderId="5" fillId="5" fontId="17" numFmtId="164" xfId="0" applyAlignment="1" applyBorder="1" applyFont="1" applyNumberFormat="1">
      <alignment vertical="center"/>
    </xf>
    <xf borderId="1" fillId="16" fontId="17" numFmtId="165" xfId="0" applyAlignment="1" applyBorder="1" applyFill="1" applyFont="1" applyNumberFormat="1">
      <alignment horizontal="center" vertical="center"/>
    </xf>
    <xf borderId="6" fillId="7" fontId="17" numFmtId="164" xfId="0" applyAlignment="1" applyBorder="1" applyFont="1" applyNumberFormat="1">
      <alignment vertical="center"/>
    </xf>
    <xf borderId="7" fillId="8" fontId="17" numFmtId="164" xfId="0" applyAlignment="1" applyBorder="1" applyFont="1" applyNumberFormat="1">
      <alignment vertical="center"/>
    </xf>
    <xf borderId="0" fillId="0" fontId="23" numFmtId="0" xfId="0" applyFont="1"/>
    <xf borderId="6" fillId="10" fontId="17" numFmtId="164" xfId="0" applyAlignment="1" applyBorder="1" applyFont="1" applyNumberFormat="1">
      <alignment vertical="center"/>
    </xf>
    <xf borderId="1" fillId="3" fontId="15" numFmtId="0" xfId="0" applyAlignment="1" applyBorder="1" applyFont="1">
      <alignment horizontal="right" vertical="center"/>
    </xf>
    <xf borderId="7" fillId="11" fontId="17" numFmtId="164" xfId="0" applyAlignment="1" applyBorder="1" applyFont="1" applyNumberFormat="1">
      <alignment vertical="center"/>
    </xf>
    <xf borderId="1" fillId="12" fontId="17" numFmtId="1" xfId="0" applyAlignment="1" applyBorder="1" applyFont="1" applyNumberFormat="1">
      <alignment horizontal="center" vertical="center"/>
    </xf>
    <xf borderId="6" fillId="13" fontId="17" numFmtId="164" xfId="0" applyAlignment="1" applyBorder="1" applyFont="1" applyNumberFormat="1">
      <alignment vertical="center"/>
    </xf>
    <xf borderId="1" fillId="3" fontId="15" numFmtId="164" xfId="0" applyAlignment="1" applyBorder="1" applyFont="1" applyNumberFormat="1">
      <alignment vertical="center"/>
    </xf>
    <xf borderId="1" fillId="15" fontId="17" numFmtId="1" xfId="0" applyAlignment="1" applyBorder="1" applyFont="1" applyNumberFormat="1">
      <alignment horizontal="center" vertical="center"/>
    </xf>
    <xf borderId="7" fillId="3" fontId="17" numFmtId="164" xfId="0" applyAlignment="1" applyBorder="1" applyFont="1" applyNumberFormat="1">
      <alignment vertical="center"/>
    </xf>
    <xf borderId="1" fillId="16" fontId="17" numFmtId="1" xfId="0" applyAlignment="1" applyBorder="1" applyFont="1" applyNumberFormat="1">
      <alignment horizontal="center" vertical="center"/>
    </xf>
    <xf borderId="6" fillId="6" fontId="17" numFmtId="164" xfId="0" applyAlignment="1" applyBorder="1" applyFont="1" applyNumberFormat="1">
      <alignment vertical="center"/>
    </xf>
    <xf borderId="1" fillId="2" fontId="19" numFmtId="0" xfId="0" applyAlignment="1" applyBorder="1" applyFont="1">
      <alignment vertical="center"/>
    </xf>
    <xf borderId="7" fillId="14" fontId="24" numFmtId="164" xfId="0" applyAlignment="1" applyBorder="1" applyFont="1" applyNumberFormat="1">
      <alignment vertical="center"/>
    </xf>
    <xf borderId="1" fillId="12" fontId="17" numFmtId="164" xfId="0" applyAlignment="1" applyBorder="1" applyFont="1" applyNumberFormat="1">
      <alignment horizontal="center" vertical="center"/>
    </xf>
    <xf borderId="1" fillId="2" fontId="21" numFmtId="164" xfId="0" applyAlignment="1" applyBorder="1" applyFont="1" applyNumberFormat="1">
      <alignment vertical="center"/>
    </xf>
    <xf borderId="1" fillId="15" fontId="17" numFmtId="164" xfId="0" applyAlignment="1" applyBorder="1" applyFont="1" applyNumberFormat="1">
      <alignment horizontal="center" vertical="center"/>
    </xf>
    <xf borderId="9" fillId="9" fontId="16" numFmtId="0" xfId="0" applyAlignment="1" applyBorder="1" applyFont="1">
      <alignment horizontal="right" vertical="center"/>
    </xf>
    <xf borderId="1" fillId="16" fontId="17" numFmtId="164" xfId="0" applyAlignment="1" applyBorder="1" applyFont="1" applyNumberFormat="1">
      <alignment horizontal="center" vertical="center"/>
    </xf>
    <xf borderId="9" fillId="5" fontId="17" numFmtId="164" xfId="0" applyAlignment="1" applyBorder="1" applyFont="1" applyNumberFormat="1">
      <alignment vertical="center"/>
    </xf>
    <xf borderId="10" fillId="7" fontId="17" numFmtId="164" xfId="0" applyAlignment="1" applyBorder="1" applyFont="1" applyNumberFormat="1">
      <alignment vertical="center"/>
    </xf>
    <xf borderId="11" fillId="8" fontId="17" numFmtId="164" xfId="0" applyAlignment="1" applyBorder="1" applyFont="1" applyNumberFormat="1">
      <alignment vertical="center"/>
    </xf>
    <xf borderId="12" fillId="2" fontId="5" numFmtId="0" xfId="0" applyAlignment="1" applyBorder="1" applyFont="1">
      <alignment horizontal="left" vertical="center"/>
    </xf>
    <xf borderId="13" fillId="12" fontId="12" numFmtId="0" xfId="0" applyAlignment="1" applyBorder="1" applyFont="1">
      <alignment horizontal="center" vertical="center"/>
    </xf>
    <xf borderId="13" fillId="10" fontId="12" numFmtId="0" xfId="0" applyAlignment="1" applyBorder="1" applyFont="1">
      <alignment horizontal="center" vertical="center"/>
    </xf>
    <xf borderId="10" fillId="10" fontId="17" numFmtId="164" xfId="0" applyAlignment="1" applyBorder="1" applyFont="1" applyNumberFormat="1">
      <alignment vertical="center"/>
    </xf>
    <xf borderId="13" fillId="16" fontId="12" numFmtId="0" xfId="0" applyAlignment="1" applyBorder="1" applyFont="1">
      <alignment horizontal="center" vertical="center"/>
    </xf>
    <xf borderId="11" fillId="11" fontId="17" numFmtId="164" xfId="0" applyAlignment="1" applyBorder="1" applyFont="1" applyNumberFormat="1">
      <alignment vertical="center"/>
    </xf>
    <xf borderId="10" fillId="13" fontId="17" numFmtId="164" xfId="0" applyAlignment="1" applyBorder="1" applyFont="1" applyNumberFormat="1">
      <alignment vertical="center"/>
    </xf>
    <xf borderId="1" fillId="9" fontId="25" numFmtId="0" xfId="0" applyAlignment="1" applyBorder="1" applyFont="1">
      <alignment horizontal="left" vertical="center"/>
    </xf>
    <xf borderId="11" fillId="3" fontId="17" numFmtId="164" xfId="0" applyAlignment="1" applyBorder="1" applyFont="1" applyNumberFormat="1">
      <alignment vertical="center"/>
    </xf>
    <xf borderId="10" fillId="6" fontId="17" numFmtId="164" xfId="0" applyAlignment="1" applyBorder="1" applyFont="1" applyNumberFormat="1">
      <alignment vertical="center"/>
    </xf>
    <xf borderId="1" fillId="9" fontId="26" numFmtId="0" xfId="0" applyAlignment="1" applyBorder="1" applyFont="1">
      <alignment horizontal="right" vertical="center"/>
    </xf>
    <xf borderId="11" fillId="14" fontId="24" numFmtId="164" xfId="0" applyAlignment="1" applyBorder="1" applyFont="1" applyNumberFormat="1">
      <alignment vertical="center"/>
    </xf>
    <xf borderId="1" fillId="12" fontId="24" numFmtId="164" xfId="0" applyAlignment="1" applyBorder="1" applyFont="1" applyNumberFormat="1">
      <alignment vertical="center"/>
    </xf>
    <xf borderId="14" fillId="9" fontId="16" numFmtId="0" xfId="0" applyAlignment="1" applyBorder="1" applyFont="1">
      <alignment horizontal="right" vertical="center"/>
    </xf>
    <xf borderId="1" fillId="15" fontId="24" numFmtId="164" xfId="0" applyAlignment="1" applyBorder="1" applyFont="1" applyNumberFormat="1">
      <alignment vertical="center"/>
    </xf>
    <xf borderId="1" fillId="16" fontId="24" numFmtId="164" xfId="0" applyAlignment="1" applyBorder="1" applyFont="1" applyNumberFormat="1">
      <alignment vertical="center"/>
    </xf>
    <xf borderId="14" fillId="7" fontId="17" numFmtId="164" xfId="0" applyAlignment="1" applyBorder="1" applyFont="1" applyNumberFormat="1">
      <alignment vertical="center"/>
    </xf>
    <xf borderId="15" fillId="17" fontId="17" numFmtId="164" xfId="0" applyAlignment="1" applyBorder="1" applyFill="1" applyFont="1" applyNumberFormat="1">
      <alignment vertical="center"/>
    </xf>
    <xf borderId="16" fillId="10" fontId="17" numFmtId="164" xfId="0" applyAlignment="1" applyBorder="1" applyFont="1" applyNumberFormat="1">
      <alignment vertical="center"/>
    </xf>
    <xf borderId="1" fillId="9" fontId="16" numFmtId="0" xfId="0" applyAlignment="1" applyBorder="1" applyFont="1">
      <alignment horizontal="right" vertical="center"/>
    </xf>
    <xf borderId="15" fillId="18" fontId="17" numFmtId="164" xfId="0" applyAlignment="1" applyBorder="1" applyFill="1" applyFont="1" applyNumberFormat="1">
      <alignment vertical="center"/>
    </xf>
    <xf borderId="16" fillId="13" fontId="17" numFmtId="164" xfId="0" applyAlignment="1" applyBorder="1" applyFont="1" applyNumberFormat="1">
      <alignment vertical="center"/>
    </xf>
    <xf borderId="1" fillId="12" fontId="17" numFmtId="164" xfId="0" applyAlignment="1" applyBorder="1" applyFont="1" applyNumberFormat="1">
      <alignment vertical="center"/>
    </xf>
    <xf borderId="15" fillId="19" fontId="17" numFmtId="164" xfId="0" applyAlignment="1" applyBorder="1" applyFill="1" applyFont="1" applyNumberFormat="1">
      <alignment vertical="center"/>
    </xf>
    <xf borderId="1" fillId="15" fontId="17" numFmtId="164" xfId="0" applyAlignment="1" applyBorder="1" applyFont="1" applyNumberFormat="1">
      <alignment vertical="center"/>
    </xf>
    <xf borderId="16" fillId="6" fontId="17" numFmtId="164" xfId="0" applyAlignment="1" applyBorder="1" applyFont="1" applyNumberFormat="1">
      <alignment vertical="center"/>
    </xf>
    <xf borderId="1" fillId="16" fontId="17" numFmtId="164" xfId="0" applyAlignment="1" applyBorder="1" applyFont="1" applyNumberFormat="1">
      <alignment vertical="center"/>
    </xf>
    <xf borderId="15" fillId="16" fontId="17" numFmtId="164" xfId="0" applyAlignment="1" applyBorder="1" applyFont="1" applyNumberFormat="1">
      <alignment vertical="center"/>
    </xf>
    <xf borderId="16" fillId="12" fontId="24" numFmtId="164" xfId="0" applyAlignment="1" applyBorder="1" applyFont="1" applyNumberFormat="1">
      <alignment vertical="center"/>
    </xf>
    <xf borderId="17" fillId="9" fontId="16" numFmtId="0" xfId="0" applyAlignment="1" applyBorder="1" applyFont="1">
      <alignment horizontal="right" vertical="center"/>
    </xf>
    <xf borderId="17" fillId="17" fontId="24" numFmtId="164" xfId="0" applyAlignment="1" applyBorder="1" applyFont="1" applyNumberFormat="1">
      <alignment vertical="center"/>
    </xf>
    <xf borderId="18" fillId="2" fontId="27" numFmtId="0" xfId="0" applyAlignment="1" applyBorder="1" applyFont="1">
      <alignment vertical="center"/>
    </xf>
    <xf borderId="19" fillId="18" fontId="24" numFmtId="164" xfId="0" applyAlignment="1" applyBorder="1" applyFont="1" applyNumberFormat="1">
      <alignment vertical="center"/>
    </xf>
    <xf borderId="19" fillId="19" fontId="24" numFmtId="164" xfId="0" applyAlignment="1" applyBorder="1" applyFont="1" applyNumberFormat="1">
      <alignment vertical="center"/>
    </xf>
    <xf borderId="19" fillId="16" fontId="24" numFmtId="164" xfId="0" applyAlignment="1" applyBorder="1" applyFont="1" applyNumberFormat="1">
      <alignment vertical="center"/>
    </xf>
    <xf borderId="3" fillId="2" fontId="20" numFmtId="0" xfId="0" applyBorder="1" applyFont="1"/>
    <xf borderId="20" fillId="2" fontId="16" numFmtId="0" xfId="0" applyAlignment="1" applyBorder="1" applyFont="1">
      <alignment horizontal="right" vertical="center"/>
    </xf>
    <xf borderId="20" fillId="2" fontId="24" numFmtId="164" xfId="0" applyAlignment="1" applyBorder="1" applyFont="1" applyNumberFormat="1">
      <alignment vertical="center"/>
    </xf>
    <xf borderId="20" fillId="2" fontId="27" numFmtId="0" xfId="0" applyAlignment="1" applyBorder="1" applyFont="1">
      <alignment vertical="center"/>
    </xf>
    <xf borderId="20" fillId="2" fontId="20" numFmtId="0" xfId="0" applyBorder="1" applyFont="1"/>
    <xf borderId="1" fillId="14" fontId="24" numFmtId="0" xfId="0" applyAlignment="1" applyBorder="1" applyFont="1">
      <alignment horizontal="right" vertical="center"/>
    </xf>
    <xf borderId="21" fillId="2" fontId="27" numFmtId="0" xfId="0" applyAlignment="1" applyBorder="1" applyFont="1">
      <alignment horizontal="center" vertical="center"/>
    </xf>
    <xf borderId="1" fillId="14" fontId="24" numFmtId="0" xfId="0" applyAlignment="1" applyBorder="1" applyFont="1">
      <alignment horizontal="right" shrinkToFit="0" vertical="center" wrapText="1"/>
    </xf>
    <xf borderId="0" fillId="0" fontId="28" numFmtId="0" xfId="0" applyFont="1"/>
    <xf borderId="1" fillId="14" fontId="12" numFmtId="0" xfId="0" applyAlignment="1" applyBorder="1" applyFont="1">
      <alignment horizontal="left" vertical="center"/>
    </xf>
    <xf borderId="1" fillId="12" fontId="12" numFmtId="0" xfId="0" applyAlignment="1" applyBorder="1" applyFont="1">
      <alignment horizontal="center" vertical="center"/>
    </xf>
    <xf borderId="1" fillId="10" fontId="12" numFmtId="0" xfId="0" applyAlignment="1" applyBorder="1" applyFont="1">
      <alignment horizontal="center" vertical="center"/>
    </xf>
    <xf borderId="5" fillId="9" fontId="16" numFmtId="0" xfId="0" applyAlignment="1" applyBorder="1" applyFont="1">
      <alignment horizontal="right" shrinkToFit="0" vertical="center" wrapText="1"/>
    </xf>
    <xf borderId="1" fillId="16" fontId="12" numFmtId="0" xfId="0" applyAlignment="1" applyBorder="1" applyFont="1">
      <alignment horizontal="center" vertical="center"/>
    </xf>
    <xf borderId="5" fillId="5" fontId="17" numFmtId="165" xfId="0" applyAlignment="1" applyBorder="1" applyFont="1" applyNumberFormat="1">
      <alignment horizontal="center" vertical="center"/>
    </xf>
    <xf borderId="1" fillId="0" fontId="21" numFmtId="0" xfId="0" applyAlignment="1" applyBorder="1" applyFont="1">
      <alignment horizontal="left" vertical="center"/>
    </xf>
    <xf borderId="22" fillId="0" fontId="29" numFmtId="0" xfId="0" applyBorder="1" applyFont="1"/>
    <xf borderId="5" fillId="8" fontId="17" numFmtId="165" xfId="0" applyAlignment="1" applyBorder="1" applyFont="1" applyNumberFormat="1">
      <alignment horizontal="center" vertical="center"/>
    </xf>
    <xf borderId="1" fillId="10" fontId="17" numFmtId="164" xfId="0" applyAlignment="1" applyBorder="1" applyFont="1" applyNumberFormat="1">
      <alignment vertical="center"/>
    </xf>
    <xf borderId="5" fillId="11" fontId="17" numFmtId="165" xfId="0" applyAlignment="1" applyBorder="1" applyFont="1" applyNumberFormat="1">
      <alignment horizontal="center" vertical="center"/>
    </xf>
    <xf borderId="5" fillId="3" fontId="17" numFmtId="165" xfId="0" applyAlignment="1" applyBorder="1" applyFont="1" applyNumberFormat="1">
      <alignment horizontal="center" vertical="center"/>
    </xf>
    <xf borderId="5" fillId="5" fontId="17" numFmtId="2" xfId="0" applyAlignment="1" applyBorder="1" applyFont="1" applyNumberFormat="1">
      <alignment horizontal="center" vertical="center"/>
    </xf>
    <xf borderId="5" fillId="8" fontId="17" numFmtId="2" xfId="0" applyAlignment="1" applyBorder="1" applyFont="1" applyNumberFormat="1">
      <alignment horizontal="center" vertical="center"/>
    </xf>
    <xf borderId="5" fillId="11" fontId="17" numFmtId="2" xfId="0" applyAlignment="1" applyBorder="1" applyFont="1" applyNumberFormat="1">
      <alignment horizontal="center" vertical="center"/>
    </xf>
    <xf borderId="5" fillId="3" fontId="17" numFmtId="2" xfId="0" applyAlignment="1" applyBorder="1" applyFont="1" applyNumberFormat="1">
      <alignment horizontal="center" vertical="center"/>
    </xf>
    <xf borderId="23" fillId="0" fontId="29" numFmtId="0" xfId="0" applyBorder="1" applyFont="1"/>
    <xf borderId="5" fillId="9" fontId="18" numFmtId="0" xfId="0" applyAlignment="1" applyBorder="1" applyFont="1">
      <alignment horizontal="left" vertical="center"/>
    </xf>
    <xf borderId="5" fillId="2" fontId="19" numFmtId="0" xfId="0" applyAlignment="1" applyBorder="1" applyFont="1">
      <alignment vertical="center"/>
    </xf>
    <xf borderId="6" fillId="2" fontId="19" numFmtId="0" xfId="0" applyAlignment="1" applyBorder="1" applyFont="1">
      <alignment vertical="center"/>
    </xf>
    <xf borderId="7" fillId="2" fontId="19" numFmtId="0" xfId="0" applyAlignment="1" applyBorder="1" applyFont="1">
      <alignment vertical="center"/>
    </xf>
    <xf borderId="5" fillId="9" fontId="21" numFmtId="0" xfId="0" applyAlignment="1" applyBorder="1" applyFont="1">
      <alignment horizontal="left" vertical="center"/>
    </xf>
    <xf borderId="5" fillId="2" fontId="21" numFmtId="164" xfId="0" applyAlignment="1" applyBorder="1" applyFont="1" applyNumberFormat="1">
      <alignment vertical="center"/>
    </xf>
    <xf borderId="6" fillId="20" fontId="21" numFmtId="164" xfId="0" applyAlignment="1" applyBorder="1" applyFill="1" applyFont="1" applyNumberFormat="1">
      <alignment vertical="center"/>
    </xf>
    <xf borderId="7" fillId="2" fontId="21" numFmtId="164" xfId="0" applyAlignment="1" applyBorder="1" applyFont="1" applyNumberFormat="1">
      <alignment vertical="center"/>
    </xf>
    <xf borderId="6" fillId="21" fontId="21" numFmtId="164" xfId="0" applyAlignment="1" applyBorder="1" applyFill="1" applyFont="1" applyNumberFormat="1">
      <alignment vertical="center"/>
    </xf>
    <xf borderId="6" fillId="22" fontId="21" numFmtId="164" xfId="0" applyAlignment="1" applyBorder="1" applyFill="1" applyFont="1" applyNumberFormat="1">
      <alignment vertical="center"/>
    </xf>
    <xf borderId="6" fillId="9" fontId="21" numFmtId="164" xfId="0" applyAlignment="1" applyBorder="1" applyFont="1" applyNumberFormat="1">
      <alignment vertical="center"/>
    </xf>
    <xf borderId="7" fillId="23" fontId="16" numFmtId="164" xfId="0" applyAlignment="1" applyBorder="1" applyFill="1" applyFont="1" applyNumberFormat="1">
      <alignment vertical="center"/>
    </xf>
    <xf borderId="24" fillId="9" fontId="16" numFmtId="0" xfId="0" applyAlignment="1" applyBorder="1" applyFont="1">
      <alignment horizontal="right" vertical="center"/>
    </xf>
    <xf borderId="24" fillId="24" fontId="21" numFmtId="164" xfId="0" applyAlignment="1" applyBorder="1" applyFill="1" applyFont="1" applyNumberFormat="1">
      <alignment vertical="center"/>
    </xf>
    <xf borderId="24" fillId="25" fontId="21" numFmtId="164" xfId="0" applyAlignment="1" applyBorder="1" applyFill="1" applyFont="1" applyNumberFormat="1">
      <alignment vertical="center"/>
    </xf>
    <xf borderId="25" fillId="25" fontId="21" numFmtId="164" xfId="0" applyAlignment="1" applyBorder="1" applyFont="1" applyNumberFormat="1">
      <alignment vertical="center"/>
    </xf>
    <xf borderId="24" fillId="26" fontId="21" numFmtId="164" xfId="0" applyAlignment="1" applyBorder="1" applyFill="1" applyFont="1" applyNumberFormat="1">
      <alignment vertical="center"/>
    </xf>
    <xf borderId="25" fillId="26" fontId="21" numFmtId="164" xfId="0" applyAlignment="1" applyBorder="1" applyFont="1" applyNumberFormat="1">
      <alignment vertical="center"/>
    </xf>
    <xf borderId="24" fillId="27" fontId="21" numFmtId="164" xfId="0" applyAlignment="1" applyBorder="1" applyFill="1" applyFont="1" applyNumberFormat="1">
      <alignment vertical="center"/>
    </xf>
    <xf borderId="25" fillId="27" fontId="21" numFmtId="164" xfId="0" applyAlignment="1" applyBorder="1" applyFont="1" applyNumberFormat="1">
      <alignment vertical="center"/>
    </xf>
    <xf borderId="26" fillId="28" fontId="16" numFmtId="164" xfId="0" applyAlignment="1" applyBorder="1" applyFill="1" applyFont="1" applyNumberFormat="1">
      <alignment vertical="center"/>
    </xf>
    <xf borderId="26" fillId="25" fontId="21" numFmtId="164" xfId="0" applyAlignment="1" applyBorder="1" applyFont="1" applyNumberFormat="1">
      <alignment vertical="center"/>
    </xf>
    <xf borderId="26" fillId="26" fontId="21" numFmtId="164" xfId="0" applyAlignment="1" applyBorder="1" applyFont="1" applyNumberFormat="1">
      <alignment vertical="center"/>
    </xf>
    <xf borderId="26" fillId="27" fontId="21" numFmtId="164" xfId="0" applyAlignment="1" applyBorder="1" applyFont="1" applyNumberFormat="1">
      <alignment vertical="center"/>
    </xf>
    <xf borderId="5" fillId="24" fontId="21" numFmtId="164" xfId="0" applyAlignment="1" applyBorder="1" applyFont="1" applyNumberFormat="1">
      <alignment vertical="center"/>
    </xf>
    <xf borderId="6" fillId="24" fontId="21" numFmtId="164" xfId="0" applyAlignment="1" applyBorder="1" applyFont="1" applyNumberFormat="1">
      <alignment vertical="center"/>
    </xf>
    <xf borderId="7" fillId="29" fontId="21" numFmtId="164" xfId="0" applyAlignment="1" applyBorder="1" applyFill="1" applyFont="1" applyNumberFormat="1">
      <alignment vertical="center"/>
    </xf>
    <xf borderId="5" fillId="29" fontId="21" numFmtId="164" xfId="0" applyAlignment="1" applyBorder="1" applyFont="1" applyNumberFormat="1">
      <alignment vertical="center"/>
    </xf>
    <xf borderId="6" fillId="29" fontId="21" numFmtId="164" xfId="0" applyAlignment="1" applyBorder="1" applyFont="1" applyNumberFormat="1">
      <alignment vertical="center"/>
    </xf>
    <xf borderId="7" fillId="26" fontId="21" numFmtId="164" xfId="0" applyAlignment="1" applyBorder="1" applyFont="1" applyNumberFormat="1">
      <alignment vertical="center"/>
    </xf>
    <xf borderId="5" fillId="26" fontId="21" numFmtId="164" xfId="0" applyAlignment="1" applyBorder="1" applyFont="1" applyNumberFormat="1">
      <alignment vertical="center"/>
    </xf>
    <xf borderId="6" fillId="26" fontId="21" numFmtId="164" xfId="0" applyAlignment="1" applyBorder="1" applyFont="1" applyNumberFormat="1">
      <alignment vertical="center"/>
    </xf>
    <xf borderId="7" fillId="27" fontId="21" numFmtId="164" xfId="0" applyAlignment="1" applyBorder="1" applyFont="1" applyNumberFormat="1">
      <alignment vertical="center"/>
    </xf>
    <xf borderId="5" fillId="27" fontId="21" numFmtId="164" xfId="0" applyAlignment="1" applyBorder="1" applyFont="1" applyNumberFormat="1">
      <alignment vertical="center"/>
    </xf>
    <xf borderId="6" fillId="27" fontId="21" numFmtId="164" xfId="0" applyAlignment="1" applyBorder="1" applyFont="1" applyNumberFormat="1">
      <alignment vertical="center"/>
    </xf>
    <xf borderId="25" fillId="24" fontId="21" numFmtId="164" xfId="0" applyAlignment="1" applyBorder="1" applyFont="1" applyNumberFormat="1">
      <alignment vertical="center"/>
    </xf>
    <xf borderId="25" fillId="30" fontId="21" numFmtId="164" xfId="0" applyAlignment="1" applyBorder="1" applyFill="1" applyFont="1" applyNumberFormat="1">
      <alignment vertical="center"/>
    </xf>
    <xf borderId="24" fillId="5" fontId="17" numFmtId="164" xfId="0" applyAlignment="1" applyBorder="1" applyFont="1" applyNumberFormat="1">
      <alignment vertical="center"/>
    </xf>
    <xf borderId="25" fillId="7" fontId="17" numFmtId="164" xfId="0" applyAlignment="1" applyBorder="1" applyFont="1" applyNumberFormat="1">
      <alignment vertical="center"/>
    </xf>
    <xf borderId="26" fillId="8" fontId="17" numFmtId="164" xfId="0" applyAlignment="1" applyBorder="1" applyFont="1" applyNumberFormat="1">
      <alignment vertical="center"/>
    </xf>
    <xf borderId="24" fillId="8" fontId="17" numFmtId="164" xfId="0" applyAlignment="1" applyBorder="1" applyFont="1" applyNumberFormat="1">
      <alignment vertical="center"/>
    </xf>
    <xf borderId="25" fillId="10" fontId="17" numFmtId="164" xfId="0" applyAlignment="1" applyBorder="1" applyFont="1" applyNumberFormat="1">
      <alignment vertical="center"/>
    </xf>
    <xf borderId="26" fillId="11" fontId="17" numFmtId="164" xfId="0" applyAlignment="1" applyBorder="1" applyFont="1" applyNumberFormat="1">
      <alignment vertical="center"/>
    </xf>
    <xf borderId="24" fillId="11" fontId="17" numFmtId="164" xfId="0" applyAlignment="1" applyBorder="1" applyFont="1" applyNumberFormat="1">
      <alignment vertical="center"/>
    </xf>
    <xf borderId="25" fillId="13" fontId="17" numFmtId="164" xfId="0" applyAlignment="1" applyBorder="1" applyFont="1" applyNumberFormat="1">
      <alignment vertical="center"/>
    </xf>
    <xf borderId="26" fillId="3" fontId="17" numFmtId="164" xfId="0" applyAlignment="1" applyBorder="1" applyFont="1" applyNumberFormat="1">
      <alignment vertical="center"/>
    </xf>
    <xf borderId="24" fillId="3" fontId="17" numFmtId="164" xfId="0" applyAlignment="1" applyBorder="1" applyFont="1" applyNumberFormat="1">
      <alignment vertical="center"/>
    </xf>
    <xf borderId="25" fillId="6" fontId="17" numFmtId="164" xfId="0" applyAlignment="1" applyBorder="1" applyFont="1" applyNumberFormat="1">
      <alignment vertical="center"/>
    </xf>
    <xf borderId="26" fillId="14" fontId="24" numFmtId="164" xfId="0" applyAlignment="1" applyBorder="1" applyFont="1" applyNumberFormat="1">
      <alignment vertical="center"/>
    </xf>
    <xf borderId="24" fillId="20" fontId="21" numFmtId="164" xfId="0" applyAlignment="1" applyBorder="1" applyFont="1" applyNumberFormat="1">
      <alignment vertical="center"/>
    </xf>
    <xf borderId="26" fillId="21" fontId="21" numFmtId="164" xfId="0" applyAlignment="1" applyBorder="1" applyFont="1" applyNumberFormat="1">
      <alignment vertical="center"/>
    </xf>
    <xf borderId="24" fillId="21" fontId="21" numFmtId="164" xfId="0" applyAlignment="1" applyBorder="1" applyFont="1" applyNumberFormat="1">
      <alignment vertical="center"/>
    </xf>
    <xf borderId="26" fillId="22" fontId="21" numFmtId="164" xfId="0" applyAlignment="1" applyBorder="1" applyFont="1" applyNumberFormat="1">
      <alignment vertical="center"/>
    </xf>
    <xf borderId="24" fillId="22" fontId="21" numFmtId="164" xfId="0" applyAlignment="1" applyBorder="1" applyFont="1" applyNumberFormat="1">
      <alignment vertical="center"/>
    </xf>
    <xf borderId="26" fillId="9" fontId="21" numFmtId="164" xfId="0" applyAlignment="1" applyBorder="1" applyFont="1" applyNumberFormat="1">
      <alignment vertical="center"/>
    </xf>
    <xf borderId="24" fillId="9" fontId="21" numFmtId="164" xfId="0" applyAlignment="1" applyBorder="1" applyFont="1" applyNumberFormat="1">
      <alignment vertical="center"/>
    </xf>
    <xf borderId="0" fillId="0" fontId="30" numFmtId="0" xfId="0" applyFont="1"/>
    <xf borderId="27" fillId="0" fontId="2" numFmtId="0" xfId="0" applyAlignment="1" applyBorder="1" applyFont="1">
      <alignment horizontal="left" shrinkToFit="0" vertical="center" wrapText="1"/>
    </xf>
    <xf borderId="24" fillId="9" fontId="11" numFmtId="0" xfId="0" applyAlignment="1" applyBorder="1" applyFont="1">
      <alignment horizontal="right" vertical="center"/>
    </xf>
    <xf borderId="24" fillId="5" fontId="14" numFmtId="164" xfId="0" applyAlignment="1" applyBorder="1" applyFont="1" applyNumberFormat="1">
      <alignment vertical="center"/>
    </xf>
    <xf borderId="25" fillId="7" fontId="14" numFmtId="164" xfId="0" applyAlignment="1" applyBorder="1" applyFont="1" applyNumberFormat="1">
      <alignment vertical="center"/>
    </xf>
    <xf borderId="26" fillId="8" fontId="14" numFmtId="164" xfId="0" applyAlignment="1" applyBorder="1" applyFont="1" applyNumberFormat="1">
      <alignment vertical="center"/>
    </xf>
    <xf borderId="24" fillId="8" fontId="14" numFmtId="164" xfId="0" applyAlignment="1" applyBorder="1" applyFont="1" applyNumberFormat="1">
      <alignment vertical="center"/>
    </xf>
    <xf borderId="25" fillId="10" fontId="14" numFmtId="164" xfId="0" applyAlignment="1" applyBorder="1" applyFont="1" applyNumberFormat="1">
      <alignment vertical="center"/>
    </xf>
    <xf borderId="26" fillId="11" fontId="14" numFmtId="164" xfId="0" applyAlignment="1" applyBorder="1" applyFont="1" applyNumberFormat="1">
      <alignment vertical="center"/>
    </xf>
    <xf borderId="24" fillId="11" fontId="14" numFmtId="164" xfId="0" applyAlignment="1" applyBorder="1" applyFont="1" applyNumberFormat="1">
      <alignment vertical="center"/>
    </xf>
    <xf borderId="25" fillId="13" fontId="14" numFmtId="164" xfId="0" applyAlignment="1" applyBorder="1" applyFont="1" applyNumberFormat="1">
      <alignment vertical="center"/>
    </xf>
    <xf borderId="26" fillId="3" fontId="14" numFmtId="164" xfId="0" applyAlignment="1" applyBorder="1" applyFont="1" applyNumberFormat="1">
      <alignment vertical="center"/>
    </xf>
    <xf borderId="24" fillId="3" fontId="14" numFmtId="164" xfId="0" applyAlignment="1" applyBorder="1" applyFont="1" applyNumberFormat="1">
      <alignment vertical="center"/>
    </xf>
    <xf borderId="25" fillId="6" fontId="14" numFmtId="164" xfId="0" applyAlignment="1" applyBorder="1" applyFont="1" applyNumberFormat="1">
      <alignment vertical="center"/>
    </xf>
    <xf borderId="26" fillId="14" fontId="14" numFmtId="164" xfId="0" applyAlignment="1" applyBorder="1" applyFont="1" applyNumberFormat="1">
      <alignment vertical="center"/>
    </xf>
    <xf borderId="0" fillId="0" fontId="31" numFmtId="0" xfId="0" applyFont="1"/>
    <xf borderId="28" fillId="31" fontId="32" numFmtId="0" xfId="0" applyAlignment="1" applyBorder="1" applyFill="1" applyFont="1">
      <alignment horizontal="center" readingOrder="0" vertical="center"/>
    </xf>
    <xf borderId="29" fillId="0" fontId="29" numFmtId="0" xfId="0" applyBorder="1" applyFont="1"/>
    <xf borderId="30" fillId="0" fontId="2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505950" cy="1971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1266825</xdr:colOff>
      <xdr:row>1</xdr:row>
      <xdr:rowOff>66675</xdr:rowOff>
    </xdr:from>
    <xdr:ext cx="2409825" cy="4762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Financial+Statements-google-sheet-8781&amp;lpa=Financial+Statements+google-sheet+8781" TargetMode="External"/><Relationship Id="rId2" Type="http://schemas.openxmlformats.org/officeDocument/2006/relationships/hyperlink" Target="https://www.smartsheet.com/try-it?trp=8781&amp;utm_source=template-google-sheet&amp;utm_medium=content&amp;utm_campaign=Financial+Statements-google-sheet-8781&amp;lpa=Financial+Statements+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33.0"/>
    <col customWidth="1" min="3" max="19" width="15.0"/>
    <col customWidth="1" min="20" max="26" width="11.0"/>
  </cols>
  <sheetData>
    <row r="1" ht="160.5" customHeight="1"/>
    <row r="2" ht="49.5" customHeight="1">
      <c r="A2" s="2" t="s">
        <v>0</v>
      </c>
      <c r="B2" s="4" t="s">
        <v>4</v>
      </c>
      <c r="C2" s="5"/>
      <c r="D2" s="5"/>
      <c r="E2" s="5"/>
      <c r="F2" s="20" t="s">
        <v>6</v>
      </c>
      <c r="H2" s="6"/>
      <c r="I2" s="6"/>
      <c r="J2" s="5"/>
      <c r="K2" s="6"/>
      <c r="L2" s="2"/>
      <c r="M2" s="2"/>
      <c r="N2" s="6"/>
      <c r="O2" s="2"/>
      <c r="P2" s="2"/>
      <c r="Q2" s="2"/>
      <c r="R2" s="2"/>
      <c r="S2" s="2"/>
      <c r="T2" s="2"/>
      <c r="U2" s="2"/>
      <c r="V2" s="2"/>
      <c r="W2" s="2"/>
      <c r="X2" s="2"/>
      <c r="Y2" s="2"/>
      <c r="Z2" s="2"/>
    </row>
    <row r="3" ht="24.75" customHeight="1">
      <c r="B3" s="7" t="s">
        <v>9</v>
      </c>
    </row>
    <row r="4" ht="45.0" customHeight="1">
      <c r="B4" s="14" t="s">
        <v>10</v>
      </c>
      <c r="C4" s="12"/>
      <c r="D4" s="12"/>
      <c r="E4" s="12"/>
      <c r="F4" s="12"/>
    </row>
    <row r="5" ht="31.5" customHeight="1">
      <c r="A5" s="17"/>
      <c r="B5" s="21"/>
      <c r="C5" s="22" t="s">
        <v>15</v>
      </c>
      <c r="D5" s="22" t="s">
        <v>16</v>
      </c>
      <c r="E5" s="22" t="s">
        <v>17</v>
      </c>
      <c r="F5" s="24" t="s">
        <v>18</v>
      </c>
      <c r="G5" s="26" t="s">
        <v>19</v>
      </c>
      <c r="H5" s="27" t="s">
        <v>20</v>
      </c>
      <c r="I5" s="27" t="s">
        <v>23</v>
      </c>
      <c r="J5" s="29" t="s">
        <v>13</v>
      </c>
      <c r="K5" s="30" t="s">
        <v>24</v>
      </c>
      <c r="L5" s="31" t="s">
        <v>26</v>
      </c>
      <c r="M5" s="31" t="s">
        <v>27</v>
      </c>
      <c r="N5" s="33" t="s">
        <v>28</v>
      </c>
      <c r="O5" s="35" t="s">
        <v>30</v>
      </c>
      <c r="P5" s="37" t="s">
        <v>31</v>
      </c>
      <c r="Q5" s="37" t="s">
        <v>32</v>
      </c>
      <c r="R5" s="39" t="s">
        <v>14</v>
      </c>
      <c r="S5" s="40" t="s">
        <v>33</v>
      </c>
      <c r="T5" s="17"/>
      <c r="U5" s="17"/>
      <c r="V5" s="17"/>
      <c r="W5" s="17"/>
      <c r="X5" s="17"/>
      <c r="Y5" s="17"/>
      <c r="Z5" s="17"/>
    </row>
    <row r="6" ht="36.0" customHeight="1">
      <c r="B6" s="43" t="s">
        <v>35</v>
      </c>
      <c r="C6" s="45">
        <f t="shared" ref="C6:E6" si="1">C36</f>
        <v>16800</v>
      </c>
      <c r="D6" s="45">
        <f t="shared" si="1"/>
        <v>15400</v>
      </c>
      <c r="E6" s="45">
        <f t="shared" si="1"/>
        <v>11556</v>
      </c>
      <c r="F6" s="47">
        <f t="shared" ref="F6:F8" si="6">SUM(C6:E6)</f>
        <v>43756</v>
      </c>
      <c r="G6" s="48">
        <f t="shared" ref="G6:I6" si="2">G36</f>
        <v>21450</v>
      </c>
      <c r="H6" s="48">
        <f t="shared" si="2"/>
        <v>20800</v>
      </c>
      <c r="I6" s="48">
        <f t="shared" si="2"/>
        <v>22000</v>
      </c>
      <c r="J6" s="50">
        <f t="shared" ref="J6:J8" si="8">SUM(G6:I6)</f>
        <v>64250</v>
      </c>
      <c r="K6" s="52">
        <f t="shared" ref="K6:M6" si="3">K36</f>
        <v>19200</v>
      </c>
      <c r="L6" s="52">
        <f t="shared" si="3"/>
        <v>19400</v>
      </c>
      <c r="M6" s="52">
        <f t="shared" si="3"/>
        <v>17556</v>
      </c>
      <c r="N6" s="54">
        <f t="shared" ref="N6:N8" si="10">SUM(K6:M6)</f>
        <v>56156</v>
      </c>
      <c r="O6" s="57">
        <f t="shared" ref="O6:Q6" si="4">O36</f>
        <v>19350</v>
      </c>
      <c r="P6" s="57">
        <f t="shared" si="4"/>
        <v>20700</v>
      </c>
      <c r="Q6" s="57">
        <f t="shared" si="4"/>
        <v>21600</v>
      </c>
      <c r="R6" s="59">
        <f t="shared" ref="R6:R8" si="12">SUM(O6:Q6)</f>
        <v>61650</v>
      </c>
      <c r="S6" s="61">
        <f t="shared" ref="S6:S8" si="13">SUM(F6,J6,N6,R6)</f>
        <v>225812</v>
      </c>
    </row>
    <row r="7" ht="36.0" customHeight="1">
      <c r="B7" s="65" t="s">
        <v>50</v>
      </c>
      <c r="C7" s="67">
        <f t="shared" ref="C7:E7" si="5">C140</f>
        <v>9574</v>
      </c>
      <c r="D7" s="67">
        <f t="shared" si="5"/>
        <v>7075</v>
      </c>
      <c r="E7" s="67">
        <f t="shared" si="5"/>
        <v>6668</v>
      </c>
      <c r="F7" s="68">
        <f t="shared" si="6"/>
        <v>23317</v>
      </c>
      <c r="G7" s="69">
        <f t="shared" ref="G7:I7" si="7">G140</f>
        <v>6886</v>
      </c>
      <c r="H7" s="69">
        <f t="shared" si="7"/>
        <v>6935</v>
      </c>
      <c r="I7" s="69">
        <f t="shared" si="7"/>
        <v>8532</v>
      </c>
      <c r="J7" s="73">
        <f t="shared" si="8"/>
        <v>22353</v>
      </c>
      <c r="K7" s="75">
        <f t="shared" ref="K7:M7" si="9">K140</f>
        <v>7545</v>
      </c>
      <c r="L7" s="75">
        <f t="shared" si="9"/>
        <v>5468</v>
      </c>
      <c r="M7" s="75">
        <f t="shared" si="9"/>
        <v>5937</v>
      </c>
      <c r="N7" s="76">
        <f t="shared" si="10"/>
        <v>18950</v>
      </c>
      <c r="O7" s="78">
        <f t="shared" ref="O7:Q7" si="11">O140</f>
        <v>6921</v>
      </c>
      <c r="P7" s="78">
        <f t="shared" si="11"/>
        <v>6533</v>
      </c>
      <c r="Q7" s="78">
        <f t="shared" si="11"/>
        <v>5996</v>
      </c>
      <c r="R7" s="79">
        <f t="shared" si="12"/>
        <v>19450</v>
      </c>
      <c r="S7" s="81">
        <f t="shared" si="13"/>
        <v>84070</v>
      </c>
    </row>
    <row r="8" ht="36.0" customHeight="1">
      <c r="B8" s="83" t="s">
        <v>78</v>
      </c>
      <c r="C8" s="86">
        <f t="shared" ref="C8:E8" si="14">C6-C7</f>
        <v>7226</v>
      </c>
      <c r="D8" s="86">
        <f t="shared" si="14"/>
        <v>8325</v>
      </c>
      <c r="E8" s="86">
        <f t="shared" si="14"/>
        <v>4888</v>
      </c>
      <c r="F8" s="87">
        <f t="shared" si="6"/>
        <v>20439</v>
      </c>
      <c r="G8" s="88">
        <f t="shared" ref="G8:I8" si="15">G6-G7</f>
        <v>14564</v>
      </c>
      <c r="H8" s="88">
        <f t="shared" si="15"/>
        <v>13865</v>
      </c>
      <c r="I8" s="88">
        <f t="shared" si="15"/>
        <v>13468</v>
      </c>
      <c r="J8" s="90">
        <f t="shared" si="8"/>
        <v>41897</v>
      </c>
      <c r="K8" s="91">
        <f t="shared" ref="K8:M8" si="16">K6-K7</f>
        <v>11655</v>
      </c>
      <c r="L8" s="91">
        <f t="shared" si="16"/>
        <v>13932</v>
      </c>
      <c r="M8" s="91">
        <f t="shared" si="16"/>
        <v>11619</v>
      </c>
      <c r="N8" s="93">
        <f t="shared" si="10"/>
        <v>37206</v>
      </c>
      <c r="O8" s="95">
        <f t="shared" ref="O8:Q8" si="17">O6-O7</f>
        <v>12429</v>
      </c>
      <c r="P8" s="95">
        <f t="shared" si="17"/>
        <v>14167</v>
      </c>
      <c r="Q8" s="95">
        <f t="shared" si="17"/>
        <v>15604</v>
      </c>
      <c r="R8" s="97">
        <f t="shared" si="12"/>
        <v>42200</v>
      </c>
      <c r="S8" s="98">
        <f t="shared" si="13"/>
        <v>141742</v>
      </c>
    </row>
    <row r="9" ht="36.0" customHeight="1">
      <c r="B9" s="99" t="s">
        <v>91</v>
      </c>
      <c r="C9" s="100">
        <f>C8</f>
        <v>7226</v>
      </c>
      <c r="D9" s="100">
        <f t="shared" ref="D9:E9" si="18">C9+D8</f>
        <v>15551</v>
      </c>
      <c r="E9" s="100">
        <f t="shared" si="18"/>
        <v>20439</v>
      </c>
      <c r="F9" s="101"/>
      <c r="G9" s="102">
        <f>E9+G8</f>
        <v>35003</v>
      </c>
      <c r="H9" s="102">
        <f t="shared" ref="H9:I9" si="19">G9+H8</f>
        <v>48868</v>
      </c>
      <c r="I9" s="102">
        <f t="shared" si="19"/>
        <v>62336</v>
      </c>
      <c r="J9" s="101"/>
      <c r="K9" s="103">
        <f>I9+K8</f>
        <v>73991</v>
      </c>
      <c r="L9" s="103">
        <f t="shared" ref="L9:M9" si="20">K9+L8</f>
        <v>87923</v>
      </c>
      <c r="M9" s="103">
        <f t="shared" si="20"/>
        <v>99542</v>
      </c>
      <c r="N9" s="101"/>
      <c r="O9" s="104">
        <f>M9+O8</f>
        <v>111971</v>
      </c>
      <c r="P9" s="104">
        <f t="shared" ref="P9:Q9" si="21">O9+P8</f>
        <v>126138</v>
      </c>
      <c r="Q9" s="104">
        <f t="shared" si="21"/>
        <v>141742</v>
      </c>
      <c r="R9" s="101"/>
    </row>
    <row r="10" ht="15.0" customHeight="1">
      <c r="A10" s="105"/>
      <c r="B10" s="106"/>
      <c r="C10" s="107"/>
      <c r="D10" s="107"/>
      <c r="E10" s="107"/>
      <c r="F10" s="108"/>
      <c r="G10" s="107"/>
      <c r="H10" s="107"/>
      <c r="I10" s="107"/>
      <c r="J10" s="108"/>
      <c r="K10" s="107"/>
      <c r="L10" s="107"/>
      <c r="M10" s="107"/>
      <c r="N10" s="108"/>
      <c r="O10" s="107"/>
      <c r="P10" s="107"/>
      <c r="Q10" s="107"/>
      <c r="R10" s="108"/>
      <c r="S10" s="109"/>
      <c r="T10" s="105"/>
      <c r="U10" s="105"/>
      <c r="V10" s="105"/>
      <c r="W10" s="105"/>
      <c r="X10" s="105"/>
      <c r="Y10" s="105"/>
      <c r="Z10" s="105"/>
    </row>
    <row r="11" ht="45.0" customHeight="1">
      <c r="B11" s="14" t="s">
        <v>110</v>
      </c>
      <c r="C11" s="12"/>
      <c r="D11" s="12"/>
      <c r="E11" s="12"/>
      <c r="F11" s="12"/>
    </row>
    <row r="12" ht="31.5" customHeight="1">
      <c r="A12" s="17"/>
      <c r="B12" s="21"/>
      <c r="C12" s="22" t="s">
        <v>15</v>
      </c>
      <c r="D12" s="22" t="s">
        <v>16</v>
      </c>
      <c r="E12" s="22" t="s">
        <v>17</v>
      </c>
      <c r="F12" s="111"/>
      <c r="G12" s="27" t="s">
        <v>19</v>
      </c>
      <c r="H12" s="27" t="s">
        <v>20</v>
      </c>
      <c r="I12" s="27" t="s">
        <v>23</v>
      </c>
      <c r="J12" s="111"/>
      <c r="K12" s="31" t="s">
        <v>24</v>
      </c>
      <c r="L12" s="31" t="s">
        <v>26</v>
      </c>
      <c r="M12" s="31" t="s">
        <v>27</v>
      </c>
      <c r="N12" s="111"/>
      <c r="O12" s="37" t="s">
        <v>30</v>
      </c>
      <c r="P12" s="37" t="s">
        <v>31</v>
      </c>
      <c r="Q12" s="37" t="s">
        <v>32</v>
      </c>
      <c r="R12" s="111"/>
      <c r="S12" s="113"/>
      <c r="T12" s="17"/>
      <c r="U12" s="17"/>
      <c r="V12" s="17"/>
      <c r="W12" s="17"/>
      <c r="X12" s="17"/>
      <c r="Y12" s="17"/>
      <c r="Z12" s="17"/>
    </row>
    <row r="13" ht="42.75" customHeight="1">
      <c r="B13" s="117" t="s">
        <v>115</v>
      </c>
      <c r="C13" s="119">
        <f t="shared" ref="C13:E13" si="22">C6/C29</f>
        <v>0.9081081081</v>
      </c>
      <c r="D13" s="119">
        <f t="shared" si="22"/>
        <v>0.875</v>
      </c>
      <c r="E13" s="119">
        <f t="shared" si="22"/>
        <v>0.7884825328</v>
      </c>
      <c r="F13" s="121"/>
      <c r="G13" s="122">
        <f t="shared" ref="G13:I13" si="23">G6/G29</f>
        <v>1.150134048</v>
      </c>
      <c r="H13" s="122">
        <f t="shared" si="23"/>
        <v>1.100529101</v>
      </c>
      <c r="I13" s="122">
        <f t="shared" si="23"/>
        <v>1.176470588</v>
      </c>
      <c r="J13" s="121"/>
      <c r="K13" s="124">
        <f t="shared" ref="K13:M13" si="24">K6/K29</f>
        <v>1.037837838</v>
      </c>
      <c r="L13" s="124">
        <f t="shared" si="24"/>
        <v>1.102272727</v>
      </c>
      <c r="M13" s="124">
        <f t="shared" si="24"/>
        <v>1.197871179</v>
      </c>
      <c r="N13" s="121"/>
      <c r="O13" s="125">
        <f t="shared" ref="O13:Q13" si="25">O6/O29</f>
        <v>1.037533512</v>
      </c>
      <c r="P13" s="125">
        <f t="shared" si="25"/>
        <v>1.095238095</v>
      </c>
      <c r="Q13" s="125">
        <f t="shared" si="25"/>
        <v>1.155080214</v>
      </c>
      <c r="R13" s="121"/>
    </row>
    <row r="14" ht="42.75" customHeight="1">
      <c r="B14" s="117" t="s">
        <v>120</v>
      </c>
      <c r="C14" s="119">
        <f t="shared" ref="C14:E14" si="26">C8/C29</f>
        <v>0.3905945946</v>
      </c>
      <c r="D14" s="119">
        <f t="shared" si="26"/>
        <v>0.4730113636</v>
      </c>
      <c r="E14" s="119">
        <f t="shared" si="26"/>
        <v>0.3335152838</v>
      </c>
      <c r="F14" s="121"/>
      <c r="G14" s="122">
        <f t="shared" ref="G14:I14" si="27">G8/G29</f>
        <v>0.7809115282</v>
      </c>
      <c r="H14" s="122">
        <f t="shared" si="27"/>
        <v>0.7335978836</v>
      </c>
      <c r="I14" s="122">
        <f t="shared" si="27"/>
        <v>0.7202139037</v>
      </c>
      <c r="J14" s="121"/>
      <c r="K14" s="124">
        <f t="shared" ref="K14:M14" si="28">K8/K29</f>
        <v>0.63</v>
      </c>
      <c r="L14" s="124">
        <f t="shared" si="28"/>
        <v>0.7915909091</v>
      </c>
      <c r="M14" s="124">
        <f t="shared" si="28"/>
        <v>0.7927811135</v>
      </c>
      <c r="N14" s="121"/>
      <c r="O14" s="125">
        <f t="shared" ref="O14:Q14" si="29">O8/O29</f>
        <v>0.6664343164</v>
      </c>
      <c r="P14" s="125">
        <f t="shared" si="29"/>
        <v>0.7495767196</v>
      </c>
      <c r="Q14" s="125">
        <f t="shared" si="29"/>
        <v>0.8344385027</v>
      </c>
      <c r="R14" s="121"/>
    </row>
    <row r="15" ht="42.75" customHeight="1">
      <c r="B15" s="117" t="s">
        <v>122</v>
      </c>
      <c r="C15" s="126">
        <f t="shared" ref="C15:E15" si="30">C6/C35</f>
        <v>9.882352941</v>
      </c>
      <c r="D15" s="126">
        <f t="shared" si="30"/>
        <v>7</v>
      </c>
      <c r="E15" s="126">
        <f t="shared" si="30"/>
        <v>3.727741935</v>
      </c>
      <c r="F15" s="121"/>
      <c r="G15" s="127">
        <f t="shared" ref="G15:I15" si="31">G6/G35</f>
        <v>-7.660714286</v>
      </c>
      <c r="H15" s="127">
        <f t="shared" si="31"/>
        <v>-10.94736842</v>
      </c>
      <c r="I15" s="127">
        <f t="shared" si="31"/>
        <v>-6.666666667</v>
      </c>
      <c r="J15" s="121"/>
      <c r="K15" s="128">
        <f t="shared" ref="K15:M15" si="32">K6/K35</f>
        <v>-27.42857143</v>
      </c>
      <c r="L15" s="128">
        <f t="shared" si="32"/>
        <v>-10.77777778</v>
      </c>
      <c r="M15" s="128">
        <f t="shared" si="32"/>
        <v>-6.053793103</v>
      </c>
      <c r="N15" s="121"/>
      <c r="O15" s="129">
        <f t="shared" ref="O15:Q15" si="33">O6/O35</f>
        <v>-27.64285714</v>
      </c>
      <c r="P15" s="129">
        <f t="shared" si="33"/>
        <v>-11.5</v>
      </c>
      <c r="Q15" s="129">
        <f t="shared" si="33"/>
        <v>-7.448275862</v>
      </c>
      <c r="R15" s="121"/>
    </row>
    <row r="16" ht="42.75" customHeight="1">
      <c r="B16" s="117" t="s">
        <v>124</v>
      </c>
      <c r="C16" s="119">
        <f t="shared" ref="C16:E16" si="34">(C7/(1-C35/C29))</f>
        <v>10542.79762</v>
      </c>
      <c r="D16" s="119">
        <f t="shared" si="34"/>
        <v>8085.714286</v>
      </c>
      <c r="E16" s="119">
        <f t="shared" si="34"/>
        <v>8456.750433</v>
      </c>
      <c r="F16" s="130"/>
      <c r="G16" s="122">
        <f t="shared" ref="G16:I16" si="35">(G7/(1-G35/G29))</f>
        <v>5987.128205</v>
      </c>
      <c r="H16" s="122">
        <f t="shared" si="35"/>
        <v>6301.514423</v>
      </c>
      <c r="I16" s="122">
        <f t="shared" si="35"/>
        <v>7252.2</v>
      </c>
      <c r="J16" s="130"/>
      <c r="K16" s="124">
        <f t="shared" ref="K16:M16" si="36">(K7/(1-K35/K29))</f>
        <v>7269.921875</v>
      </c>
      <c r="L16" s="124">
        <f t="shared" si="36"/>
        <v>4960.659794</v>
      </c>
      <c r="M16" s="124">
        <f t="shared" si="36"/>
        <v>4956.29255</v>
      </c>
      <c r="N16" s="130"/>
      <c r="O16" s="125">
        <f t="shared" ref="O16:Q16" si="37">(O7/(1-O35/O29))</f>
        <v>6670.627907</v>
      </c>
      <c r="P16" s="125">
        <f t="shared" si="37"/>
        <v>5964.913043</v>
      </c>
      <c r="Q16" s="125">
        <f t="shared" si="37"/>
        <v>5190.981481</v>
      </c>
      <c r="R16" s="130"/>
    </row>
    <row r="17" ht="15.0" customHeight="1">
      <c r="A17" s="105"/>
      <c r="B17" s="106"/>
      <c r="C17" s="107"/>
      <c r="D17" s="107"/>
      <c r="E17" s="107"/>
      <c r="F17" s="108"/>
      <c r="G17" s="107"/>
      <c r="H17" s="107"/>
      <c r="I17" s="107"/>
      <c r="J17" s="108"/>
      <c r="K17" s="107"/>
      <c r="L17" s="107"/>
      <c r="M17" s="107"/>
      <c r="N17" s="108"/>
      <c r="O17" s="107"/>
      <c r="P17" s="107"/>
      <c r="Q17" s="107"/>
      <c r="R17" s="108"/>
      <c r="S17" s="109"/>
      <c r="T17" s="105"/>
      <c r="U17" s="105"/>
      <c r="V17" s="105"/>
      <c r="W17" s="105"/>
      <c r="X17" s="105"/>
      <c r="Y17" s="105"/>
      <c r="Z17" s="105"/>
    </row>
    <row r="18" ht="45.0" customHeight="1">
      <c r="B18" s="14" t="s">
        <v>125</v>
      </c>
      <c r="C18" s="12"/>
      <c r="D18" s="12"/>
      <c r="E18" s="12"/>
      <c r="F18" s="12"/>
    </row>
    <row r="19" ht="31.5" customHeight="1">
      <c r="A19" s="17"/>
      <c r="B19" s="21"/>
      <c r="C19" s="22" t="s">
        <v>15</v>
      </c>
      <c r="D19" s="22" t="s">
        <v>16</v>
      </c>
      <c r="E19" s="22" t="s">
        <v>17</v>
      </c>
      <c r="F19" s="24" t="s">
        <v>18</v>
      </c>
      <c r="G19" s="26" t="s">
        <v>19</v>
      </c>
      <c r="H19" s="27" t="s">
        <v>20</v>
      </c>
      <c r="I19" s="27" t="s">
        <v>23</v>
      </c>
      <c r="J19" s="29" t="s">
        <v>13</v>
      </c>
      <c r="K19" s="30" t="s">
        <v>24</v>
      </c>
      <c r="L19" s="31" t="s">
        <v>26</v>
      </c>
      <c r="M19" s="31" t="s">
        <v>27</v>
      </c>
      <c r="N19" s="33" t="s">
        <v>28</v>
      </c>
      <c r="O19" s="35" t="s">
        <v>30</v>
      </c>
      <c r="P19" s="37" t="s">
        <v>31</v>
      </c>
      <c r="Q19" s="37" t="s">
        <v>32</v>
      </c>
      <c r="R19" s="39" t="s">
        <v>14</v>
      </c>
      <c r="S19" s="40" t="s">
        <v>33</v>
      </c>
      <c r="T19" s="17"/>
      <c r="U19" s="17"/>
      <c r="V19" s="17"/>
      <c r="W19" s="17"/>
      <c r="X19" s="17"/>
      <c r="Y19" s="17"/>
      <c r="Z19" s="17"/>
    </row>
    <row r="20" ht="21.75" customHeight="1">
      <c r="B20" s="131" t="s">
        <v>126</v>
      </c>
      <c r="C20" s="132"/>
      <c r="D20" s="132"/>
      <c r="E20" s="132"/>
      <c r="F20" s="133"/>
      <c r="G20" s="134"/>
      <c r="H20" s="132"/>
      <c r="I20" s="132"/>
      <c r="J20" s="133"/>
      <c r="K20" s="134"/>
      <c r="L20" s="132"/>
      <c r="M20" s="132"/>
      <c r="N20" s="133"/>
      <c r="O20" s="134"/>
      <c r="P20" s="132"/>
      <c r="Q20" s="132"/>
      <c r="R20" s="133"/>
      <c r="S20" s="134"/>
    </row>
    <row r="21" ht="21.75" customHeight="1">
      <c r="B21" s="135" t="s">
        <v>127</v>
      </c>
      <c r="C21" s="136">
        <v>15000.0</v>
      </c>
      <c r="D21" s="136">
        <v>15000.0</v>
      </c>
      <c r="E21" s="136">
        <v>13000.0</v>
      </c>
      <c r="F21" s="137">
        <f t="shared" ref="F21:F23" si="38">SUM(C21:E21)</f>
        <v>43000</v>
      </c>
      <c r="G21" s="138">
        <v>16500.0</v>
      </c>
      <c r="H21" s="136">
        <v>16500.0</v>
      </c>
      <c r="I21" s="136">
        <v>17000.0</v>
      </c>
      <c r="J21" s="139">
        <f t="shared" ref="J21:J23" si="39">SUM(G21:I21)</f>
        <v>50000</v>
      </c>
      <c r="K21" s="136">
        <v>15000.0</v>
      </c>
      <c r="L21" s="136">
        <v>15000.0</v>
      </c>
      <c r="M21" s="136">
        <v>13000.0</v>
      </c>
      <c r="N21" s="140">
        <f t="shared" ref="N21:N23" si="40">SUM(K21:M21)</f>
        <v>43000</v>
      </c>
      <c r="O21" s="138">
        <v>16500.0</v>
      </c>
      <c r="P21" s="136">
        <v>16500.0</v>
      </c>
      <c r="Q21" s="136">
        <v>17000.0</v>
      </c>
      <c r="R21" s="141">
        <f t="shared" ref="R21:R23" si="41">SUM(O21:Q21)</f>
        <v>50000</v>
      </c>
      <c r="S21" s="142">
        <f t="shared" ref="S21:S24" si="42">SUM(F21,J21,N21,R21)</f>
        <v>186000</v>
      </c>
    </row>
    <row r="22" ht="21.75" customHeight="1">
      <c r="B22" s="135" t="s">
        <v>130</v>
      </c>
      <c r="C22" s="136">
        <v>3500.0</v>
      </c>
      <c r="D22" s="136">
        <v>2500.0</v>
      </c>
      <c r="E22" s="136">
        <v>2000.0</v>
      </c>
      <c r="F22" s="137">
        <f t="shared" si="38"/>
        <v>8000</v>
      </c>
      <c r="G22" s="138">
        <v>2500.0</v>
      </c>
      <c r="H22" s="136">
        <v>3000.0</v>
      </c>
      <c r="I22" s="136">
        <v>2000.0</v>
      </c>
      <c r="J22" s="139">
        <f t="shared" si="39"/>
        <v>7500</v>
      </c>
      <c r="K22" s="136">
        <v>3500.0</v>
      </c>
      <c r="L22" s="136">
        <v>2500.0</v>
      </c>
      <c r="M22" s="136">
        <v>2000.0</v>
      </c>
      <c r="N22" s="140">
        <f t="shared" si="40"/>
        <v>8000</v>
      </c>
      <c r="O22" s="138">
        <v>2500.0</v>
      </c>
      <c r="P22" s="136">
        <v>3000.0</v>
      </c>
      <c r="Q22" s="136">
        <v>2000.0</v>
      </c>
      <c r="R22" s="141">
        <f t="shared" si="41"/>
        <v>7500</v>
      </c>
      <c r="S22" s="142">
        <f t="shared" si="42"/>
        <v>31000</v>
      </c>
    </row>
    <row r="23" ht="21.75" customHeight="1">
      <c r="B23" s="135" t="s">
        <v>76</v>
      </c>
      <c r="C23" s="136">
        <v>600.0</v>
      </c>
      <c r="D23" s="136">
        <v>700.0</v>
      </c>
      <c r="E23" s="136">
        <v>256.0</v>
      </c>
      <c r="F23" s="137">
        <f t="shared" si="38"/>
        <v>1556</v>
      </c>
      <c r="G23" s="138">
        <v>250.0</v>
      </c>
      <c r="H23" s="136">
        <v>0.0</v>
      </c>
      <c r="I23" s="136">
        <v>300.0</v>
      </c>
      <c r="J23" s="139">
        <f t="shared" si="39"/>
        <v>550</v>
      </c>
      <c r="K23" s="136">
        <v>600.0</v>
      </c>
      <c r="L23" s="136">
        <v>700.0</v>
      </c>
      <c r="M23" s="136">
        <v>256.0</v>
      </c>
      <c r="N23" s="140">
        <f t="shared" si="40"/>
        <v>1556</v>
      </c>
      <c r="O23" s="138">
        <v>250.0</v>
      </c>
      <c r="P23" s="136">
        <v>0.0</v>
      </c>
      <c r="Q23" s="136">
        <v>300.0</v>
      </c>
      <c r="R23" s="141">
        <f t="shared" si="41"/>
        <v>550</v>
      </c>
      <c r="S23" s="142">
        <f t="shared" si="42"/>
        <v>4212</v>
      </c>
    </row>
    <row r="24" ht="21.75" customHeight="1">
      <c r="B24" s="143" t="s">
        <v>133</v>
      </c>
      <c r="C24" s="144">
        <f t="shared" ref="C24:R24" si="43">SUM(C21:C23)</f>
        <v>19100</v>
      </c>
      <c r="D24" s="144">
        <f t="shared" si="43"/>
        <v>18200</v>
      </c>
      <c r="E24" s="144">
        <f t="shared" si="43"/>
        <v>15256</v>
      </c>
      <c r="F24" s="144">
        <f t="shared" si="43"/>
        <v>52556</v>
      </c>
      <c r="G24" s="145">
        <f t="shared" si="43"/>
        <v>19250</v>
      </c>
      <c r="H24" s="145">
        <f t="shared" si="43"/>
        <v>19500</v>
      </c>
      <c r="I24" s="145">
        <f t="shared" si="43"/>
        <v>19300</v>
      </c>
      <c r="J24" s="146">
        <f t="shared" si="43"/>
        <v>58050</v>
      </c>
      <c r="K24" s="147">
        <f t="shared" si="43"/>
        <v>19100</v>
      </c>
      <c r="L24" s="147">
        <f t="shared" si="43"/>
        <v>18200</v>
      </c>
      <c r="M24" s="147">
        <f t="shared" si="43"/>
        <v>15256</v>
      </c>
      <c r="N24" s="148">
        <f t="shared" si="43"/>
        <v>52556</v>
      </c>
      <c r="O24" s="149">
        <f t="shared" si="43"/>
        <v>19250</v>
      </c>
      <c r="P24" s="149">
        <f t="shared" si="43"/>
        <v>19500</v>
      </c>
      <c r="Q24" s="149">
        <f t="shared" si="43"/>
        <v>19300</v>
      </c>
      <c r="R24" s="150">
        <f t="shared" si="43"/>
        <v>58050</v>
      </c>
      <c r="S24" s="151">
        <f t="shared" si="42"/>
        <v>221212</v>
      </c>
    </row>
    <row r="25" ht="21.75" customHeight="1">
      <c r="B25" s="131" t="s">
        <v>136</v>
      </c>
      <c r="C25" s="132"/>
      <c r="D25" s="132"/>
      <c r="E25" s="132"/>
      <c r="F25" s="133"/>
      <c r="G25" s="134"/>
      <c r="H25" s="132"/>
      <c r="I25" s="132"/>
      <c r="J25" s="133"/>
      <c r="K25" s="134"/>
      <c r="L25" s="132"/>
      <c r="M25" s="132"/>
      <c r="N25" s="133"/>
      <c r="O25" s="134"/>
      <c r="P25" s="132"/>
      <c r="Q25" s="132"/>
      <c r="R25" s="133"/>
      <c r="S25" s="134"/>
    </row>
    <row r="26" ht="21.75" customHeight="1">
      <c r="B26" s="135" t="s">
        <v>137</v>
      </c>
      <c r="C26" s="136">
        <v>0.0</v>
      </c>
      <c r="D26" s="136">
        <v>0.0</v>
      </c>
      <c r="E26" s="136">
        <v>0.0</v>
      </c>
      <c r="F26" s="137">
        <f t="shared" ref="F26:F28" si="44">SUM(C26:E26)</f>
        <v>0</v>
      </c>
      <c r="G26" s="138">
        <v>0.0</v>
      </c>
      <c r="H26" s="136">
        <v>0.0</v>
      </c>
      <c r="I26" s="136">
        <v>0.0</v>
      </c>
      <c r="J26" s="139">
        <f t="shared" ref="J26:J28" si="45">SUM(G26:I26)</f>
        <v>0</v>
      </c>
      <c r="K26" s="138">
        <v>0.0</v>
      </c>
      <c r="L26" s="136">
        <v>0.0</v>
      </c>
      <c r="M26" s="136">
        <v>0.0</v>
      </c>
      <c r="N26" s="140">
        <f t="shared" ref="N26:N28" si="46">SUM(K26:M26)</f>
        <v>0</v>
      </c>
      <c r="O26" s="138">
        <v>0.0</v>
      </c>
      <c r="P26" s="136">
        <v>0.0</v>
      </c>
      <c r="Q26" s="136">
        <v>0.0</v>
      </c>
      <c r="R26" s="141">
        <f t="shared" ref="R26:R28" si="47">SUM(O26:Q26)</f>
        <v>0</v>
      </c>
      <c r="S26" s="142">
        <f t="shared" ref="S26:S29" si="48">SUM(F26,J26,N26,R26)</f>
        <v>0</v>
      </c>
    </row>
    <row r="27" ht="21.75" customHeight="1">
      <c r="B27" s="135" t="s">
        <v>138</v>
      </c>
      <c r="C27" s="136">
        <v>600.0</v>
      </c>
      <c r="D27" s="136">
        <v>600.0</v>
      </c>
      <c r="E27" s="136">
        <v>600.0</v>
      </c>
      <c r="F27" s="137">
        <f t="shared" si="44"/>
        <v>1800</v>
      </c>
      <c r="G27" s="138">
        <v>600.0</v>
      </c>
      <c r="H27" s="136">
        <v>600.0</v>
      </c>
      <c r="I27" s="136">
        <v>600.0</v>
      </c>
      <c r="J27" s="139">
        <f t="shared" si="45"/>
        <v>1800</v>
      </c>
      <c r="K27" s="138">
        <v>600.0</v>
      </c>
      <c r="L27" s="136">
        <v>600.0</v>
      </c>
      <c r="M27" s="136">
        <v>600.0</v>
      </c>
      <c r="N27" s="140">
        <f t="shared" si="46"/>
        <v>1800</v>
      </c>
      <c r="O27" s="138">
        <v>600.0</v>
      </c>
      <c r="P27" s="136">
        <v>600.0</v>
      </c>
      <c r="Q27" s="136">
        <v>600.0</v>
      </c>
      <c r="R27" s="141">
        <f t="shared" si="47"/>
        <v>1800</v>
      </c>
      <c r="S27" s="142">
        <f t="shared" si="48"/>
        <v>7200</v>
      </c>
    </row>
    <row r="28" ht="21.75" customHeight="1">
      <c r="B28" s="143" t="s">
        <v>139</v>
      </c>
      <c r="C28" s="136">
        <f t="shared" ref="C28:E28" si="49">SUM(C26:C27)</f>
        <v>600</v>
      </c>
      <c r="D28" s="136">
        <f t="shared" si="49"/>
        <v>600</v>
      </c>
      <c r="E28" s="136">
        <f t="shared" si="49"/>
        <v>600</v>
      </c>
      <c r="F28" s="137">
        <f t="shared" si="44"/>
        <v>1800</v>
      </c>
      <c r="G28" s="138">
        <f t="shared" ref="G28:I28" si="50">SUM(G26:G27)</f>
        <v>600</v>
      </c>
      <c r="H28" s="136">
        <f t="shared" si="50"/>
        <v>600</v>
      </c>
      <c r="I28" s="136">
        <f t="shared" si="50"/>
        <v>600</v>
      </c>
      <c r="J28" s="139">
        <f t="shared" si="45"/>
        <v>1800</v>
      </c>
      <c r="K28" s="138">
        <f t="shared" ref="K28:M28" si="51">SUM(K26:K27)</f>
        <v>600</v>
      </c>
      <c r="L28" s="136">
        <f t="shared" si="51"/>
        <v>600</v>
      </c>
      <c r="M28" s="136">
        <f t="shared" si="51"/>
        <v>600</v>
      </c>
      <c r="N28" s="140">
        <f t="shared" si="46"/>
        <v>1800</v>
      </c>
      <c r="O28" s="138">
        <f t="shared" ref="O28:Q28" si="52">SUM(O26:O27)</f>
        <v>600</v>
      </c>
      <c r="P28" s="136">
        <f t="shared" si="52"/>
        <v>600</v>
      </c>
      <c r="Q28" s="136">
        <f t="shared" si="52"/>
        <v>600</v>
      </c>
      <c r="R28" s="141">
        <f t="shared" si="47"/>
        <v>1800</v>
      </c>
      <c r="S28" s="142">
        <f t="shared" si="48"/>
        <v>7200</v>
      </c>
    </row>
    <row r="29" ht="21.75" customHeight="1">
      <c r="B29" s="143" t="s">
        <v>140</v>
      </c>
      <c r="C29" s="144">
        <f t="shared" ref="C29:R29" si="53">C24-C28</f>
        <v>18500</v>
      </c>
      <c r="D29" s="144">
        <f t="shared" si="53"/>
        <v>17600</v>
      </c>
      <c r="E29" s="144">
        <f t="shared" si="53"/>
        <v>14656</v>
      </c>
      <c r="F29" s="144">
        <f t="shared" si="53"/>
        <v>50756</v>
      </c>
      <c r="G29" s="152">
        <f t="shared" si="53"/>
        <v>18650</v>
      </c>
      <c r="H29" s="145">
        <f t="shared" si="53"/>
        <v>18900</v>
      </c>
      <c r="I29" s="145">
        <f t="shared" si="53"/>
        <v>18700</v>
      </c>
      <c r="J29" s="146">
        <f t="shared" si="53"/>
        <v>56250</v>
      </c>
      <c r="K29" s="153">
        <f t="shared" si="53"/>
        <v>18500</v>
      </c>
      <c r="L29" s="147">
        <f t="shared" si="53"/>
        <v>17600</v>
      </c>
      <c r="M29" s="147">
        <f t="shared" si="53"/>
        <v>14656</v>
      </c>
      <c r="N29" s="148">
        <f t="shared" si="53"/>
        <v>50756</v>
      </c>
      <c r="O29" s="154">
        <f t="shared" si="53"/>
        <v>18650</v>
      </c>
      <c r="P29" s="149">
        <f t="shared" si="53"/>
        <v>18900</v>
      </c>
      <c r="Q29" s="149">
        <f t="shared" si="53"/>
        <v>18700</v>
      </c>
      <c r="R29" s="150">
        <f t="shared" si="53"/>
        <v>56250</v>
      </c>
      <c r="S29" s="151">
        <f t="shared" si="48"/>
        <v>214012</v>
      </c>
    </row>
    <row r="30" ht="21.75" customHeight="1">
      <c r="B30" s="131" t="s">
        <v>144</v>
      </c>
      <c r="C30" s="132"/>
      <c r="D30" s="132"/>
      <c r="E30" s="132"/>
      <c r="F30" s="133"/>
      <c r="G30" s="134"/>
      <c r="H30" s="132"/>
      <c r="I30" s="132"/>
      <c r="J30" s="133"/>
      <c r="K30" s="134"/>
      <c r="L30" s="132"/>
      <c r="M30" s="132"/>
      <c r="N30" s="133"/>
      <c r="O30" s="134"/>
      <c r="P30" s="132"/>
      <c r="Q30" s="132"/>
      <c r="R30" s="133"/>
      <c r="S30" s="134"/>
    </row>
    <row r="31" ht="21.75" customHeight="1">
      <c r="B31" s="135" t="s">
        <v>143</v>
      </c>
      <c r="C31" s="136">
        <v>1200.0</v>
      </c>
      <c r="D31" s="136">
        <v>2000.0</v>
      </c>
      <c r="E31" s="136">
        <v>3000.0</v>
      </c>
      <c r="F31" s="137">
        <f t="shared" ref="F31:F32" si="54">SUM(C31:E31)</f>
        <v>6200</v>
      </c>
      <c r="G31" s="138">
        <v>3000.0</v>
      </c>
      <c r="H31" s="136">
        <v>2100.0</v>
      </c>
      <c r="I31" s="136">
        <v>3500.0</v>
      </c>
      <c r="J31" s="139">
        <f t="shared" ref="J31:J32" si="55">SUM(G31:I31)</f>
        <v>8600</v>
      </c>
      <c r="K31" s="136">
        <v>1200.0</v>
      </c>
      <c r="L31" s="136">
        <v>2000.0</v>
      </c>
      <c r="M31" s="136">
        <v>3000.0</v>
      </c>
      <c r="N31" s="140">
        <f t="shared" ref="N31:N32" si="56">SUM(K31:M31)</f>
        <v>6200</v>
      </c>
      <c r="O31" s="136">
        <v>1200.0</v>
      </c>
      <c r="P31" s="136">
        <v>2000.0</v>
      </c>
      <c r="Q31" s="136">
        <v>3000.0</v>
      </c>
      <c r="R31" s="141">
        <f t="shared" ref="R31:R32" si="57">SUM(O31:Q31)</f>
        <v>6200</v>
      </c>
      <c r="S31" s="142">
        <f t="shared" ref="S31:S34" si="58">SUM(F31,J31,N31,R31)</f>
        <v>27200</v>
      </c>
    </row>
    <row r="32" ht="21.75" customHeight="1">
      <c r="B32" s="135" t="s">
        <v>145</v>
      </c>
      <c r="C32" s="136">
        <v>500.0</v>
      </c>
      <c r="D32" s="136">
        <v>200.0</v>
      </c>
      <c r="E32" s="136">
        <v>100.0</v>
      </c>
      <c r="F32" s="137">
        <f t="shared" si="54"/>
        <v>800</v>
      </c>
      <c r="G32" s="138">
        <v>200.0</v>
      </c>
      <c r="H32" s="136">
        <v>200.0</v>
      </c>
      <c r="I32" s="136">
        <v>200.0</v>
      </c>
      <c r="J32" s="139">
        <f t="shared" si="55"/>
        <v>600</v>
      </c>
      <c r="K32" s="136">
        <v>500.0</v>
      </c>
      <c r="L32" s="136">
        <v>200.0</v>
      </c>
      <c r="M32" s="136">
        <v>100.0</v>
      </c>
      <c r="N32" s="140">
        <f t="shared" si="56"/>
        <v>800</v>
      </c>
      <c r="O32" s="136">
        <v>500.0</v>
      </c>
      <c r="P32" s="136">
        <v>200.0</v>
      </c>
      <c r="Q32" s="136">
        <v>100.0</v>
      </c>
      <c r="R32" s="141">
        <f t="shared" si="57"/>
        <v>800</v>
      </c>
      <c r="S32" s="142">
        <f t="shared" si="58"/>
        <v>3000</v>
      </c>
    </row>
    <row r="33" ht="21.75" customHeight="1">
      <c r="B33" s="143" t="s">
        <v>146</v>
      </c>
      <c r="C33" s="155">
        <f t="shared" ref="C33:F33" si="59">SUM(C31:C32)</f>
        <v>1700</v>
      </c>
      <c r="D33" s="155">
        <f t="shared" si="59"/>
        <v>2200</v>
      </c>
      <c r="E33" s="155">
        <f t="shared" si="59"/>
        <v>3100</v>
      </c>
      <c r="F33" s="156">
        <f t="shared" si="59"/>
        <v>7000</v>
      </c>
      <c r="G33" s="157">
        <f t="shared" ref="G33:R33" si="60">G32-G31</f>
        <v>-2800</v>
      </c>
      <c r="H33" s="158">
        <f t="shared" si="60"/>
        <v>-1900</v>
      </c>
      <c r="I33" s="158">
        <f t="shared" si="60"/>
        <v>-3300</v>
      </c>
      <c r="J33" s="159">
        <f t="shared" si="60"/>
        <v>-8000</v>
      </c>
      <c r="K33" s="160">
        <f t="shared" si="60"/>
        <v>-700</v>
      </c>
      <c r="L33" s="161">
        <f t="shared" si="60"/>
        <v>-1800</v>
      </c>
      <c r="M33" s="161">
        <f t="shared" si="60"/>
        <v>-2900</v>
      </c>
      <c r="N33" s="162">
        <f t="shared" si="60"/>
        <v>-5400</v>
      </c>
      <c r="O33" s="163">
        <f t="shared" si="60"/>
        <v>-700</v>
      </c>
      <c r="P33" s="164">
        <f t="shared" si="60"/>
        <v>-1800</v>
      </c>
      <c r="Q33" s="164">
        <f t="shared" si="60"/>
        <v>-2900</v>
      </c>
      <c r="R33" s="165">
        <f t="shared" si="60"/>
        <v>-5400</v>
      </c>
      <c r="S33" s="142">
        <f t="shared" si="58"/>
        <v>-11800</v>
      </c>
    </row>
    <row r="34" ht="21.75" customHeight="1">
      <c r="B34" s="135" t="s">
        <v>149</v>
      </c>
      <c r="C34" s="136">
        <v>0.0</v>
      </c>
      <c r="D34" s="136">
        <v>0.0</v>
      </c>
      <c r="E34" s="136">
        <v>0.0</v>
      </c>
      <c r="F34" s="156">
        <f>SUM(C34:E34)</f>
        <v>0</v>
      </c>
      <c r="G34" s="138">
        <v>0.0</v>
      </c>
      <c r="H34" s="136">
        <v>0.0</v>
      </c>
      <c r="I34" s="136">
        <v>0.0</v>
      </c>
      <c r="J34" s="159">
        <f>SUM(G34:I34)</f>
        <v>0</v>
      </c>
      <c r="K34" s="138">
        <v>0.0</v>
      </c>
      <c r="L34" s="136">
        <v>0.0</v>
      </c>
      <c r="M34" s="136">
        <v>0.0</v>
      </c>
      <c r="N34" s="162">
        <f>SUM(K34:M34)</f>
        <v>0</v>
      </c>
      <c r="O34" s="138">
        <v>0.0</v>
      </c>
      <c r="P34" s="136">
        <v>0.0</v>
      </c>
      <c r="Q34" s="136">
        <v>0.0</v>
      </c>
      <c r="R34" s="165">
        <f>SUM(O34:Q34)</f>
        <v>0</v>
      </c>
      <c r="S34" s="142">
        <f t="shared" si="58"/>
        <v>0</v>
      </c>
    </row>
    <row r="35" ht="21.75" customHeight="1">
      <c r="B35" s="143" t="s">
        <v>152</v>
      </c>
      <c r="C35" s="144">
        <f t="shared" ref="C35:S35" si="61">C33-C34</f>
        <v>1700</v>
      </c>
      <c r="D35" s="144">
        <f t="shared" si="61"/>
        <v>2200</v>
      </c>
      <c r="E35" s="144">
        <f t="shared" si="61"/>
        <v>3100</v>
      </c>
      <c r="F35" s="166">
        <f t="shared" si="61"/>
        <v>7000</v>
      </c>
      <c r="G35" s="152">
        <f t="shared" si="61"/>
        <v>-2800</v>
      </c>
      <c r="H35" s="145">
        <f t="shared" si="61"/>
        <v>-1900</v>
      </c>
      <c r="I35" s="145">
        <f t="shared" si="61"/>
        <v>-3300</v>
      </c>
      <c r="J35" s="167">
        <f t="shared" si="61"/>
        <v>-8000</v>
      </c>
      <c r="K35" s="153">
        <f t="shared" si="61"/>
        <v>-700</v>
      </c>
      <c r="L35" s="147">
        <f t="shared" si="61"/>
        <v>-1800</v>
      </c>
      <c r="M35" s="147">
        <f t="shared" si="61"/>
        <v>-2900</v>
      </c>
      <c r="N35" s="148">
        <f t="shared" si="61"/>
        <v>-5400</v>
      </c>
      <c r="O35" s="154">
        <f t="shared" si="61"/>
        <v>-700</v>
      </c>
      <c r="P35" s="149">
        <f t="shared" si="61"/>
        <v>-1800</v>
      </c>
      <c r="Q35" s="149">
        <f t="shared" si="61"/>
        <v>-2900</v>
      </c>
      <c r="R35" s="150">
        <f t="shared" si="61"/>
        <v>-5400</v>
      </c>
      <c r="S35" s="151">
        <f t="shared" si="61"/>
        <v>-11800</v>
      </c>
    </row>
    <row r="36" ht="21.75" customHeight="1">
      <c r="B36" s="143" t="s">
        <v>35</v>
      </c>
      <c r="C36" s="168">
        <f t="shared" ref="C36:E36" si="62">C29-C35</f>
        <v>16800</v>
      </c>
      <c r="D36" s="168">
        <f t="shared" si="62"/>
        <v>15400</v>
      </c>
      <c r="E36" s="168">
        <f t="shared" si="62"/>
        <v>11556</v>
      </c>
      <c r="F36" s="169">
        <f>SUM(C36:E36)</f>
        <v>43756</v>
      </c>
      <c r="G36" s="170">
        <f t="shared" ref="G36:I36" si="63">G29-G35</f>
        <v>21450</v>
      </c>
      <c r="H36" s="171">
        <f t="shared" si="63"/>
        <v>20800</v>
      </c>
      <c r="I36" s="171">
        <f t="shared" si="63"/>
        <v>22000</v>
      </c>
      <c r="J36" s="172">
        <f>SUM(G36:I36)</f>
        <v>64250</v>
      </c>
      <c r="K36" s="173">
        <f t="shared" ref="K36:M36" si="64">K29-K35</f>
        <v>19200</v>
      </c>
      <c r="L36" s="174">
        <f t="shared" si="64"/>
        <v>19400</v>
      </c>
      <c r="M36" s="174">
        <f t="shared" si="64"/>
        <v>17556</v>
      </c>
      <c r="N36" s="175">
        <f>SUM(K36:M36)</f>
        <v>56156</v>
      </c>
      <c r="O36" s="176">
        <f t="shared" ref="O36:Q36" si="65">O29-O35</f>
        <v>19350</v>
      </c>
      <c r="P36" s="177">
        <f t="shared" si="65"/>
        <v>20700</v>
      </c>
      <c r="Q36" s="177">
        <f t="shared" si="65"/>
        <v>21600</v>
      </c>
      <c r="R36" s="178">
        <f>SUM(O36:Q36)</f>
        <v>61650</v>
      </c>
      <c r="S36" s="179">
        <f>SUM(F36,J36,N36,R36)</f>
        <v>225812</v>
      </c>
    </row>
    <row r="37" ht="15.0" customHeight="1">
      <c r="A37" s="105"/>
      <c r="B37" s="106"/>
      <c r="C37" s="107"/>
      <c r="D37" s="107"/>
      <c r="E37" s="107"/>
      <c r="F37" s="108"/>
      <c r="G37" s="107"/>
      <c r="H37" s="107"/>
      <c r="I37" s="107"/>
      <c r="J37" s="108"/>
      <c r="K37" s="107"/>
      <c r="L37" s="107"/>
      <c r="M37" s="107"/>
      <c r="N37" s="108"/>
      <c r="O37" s="107"/>
      <c r="P37" s="107"/>
      <c r="Q37" s="107"/>
      <c r="R37" s="108"/>
      <c r="S37" s="109"/>
      <c r="T37" s="105"/>
      <c r="U37" s="105"/>
      <c r="V37" s="105"/>
      <c r="W37" s="105"/>
      <c r="X37" s="105"/>
      <c r="Y37" s="105"/>
      <c r="Z37" s="105"/>
    </row>
    <row r="38" ht="45.0" customHeight="1">
      <c r="B38" s="14" t="s">
        <v>155</v>
      </c>
      <c r="C38" s="12"/>
      <c r="D38" s="12"/>
      <c r="E38" s="12"/>
      <c r="F38" s="12"/>
    </row>
    <row r="39" ht="31.5" customHeight="1">
      <c r="A39" s="17"/>
      <c r="B39" s="21"/>
      <c r="C39" s="22" t="s">
        <v>15</v>
      </c>
      <c r="D39" s="22" t="s">
        <v>16</v>
      </c>
      <c r="E39" s="22" t="s">
        <v>17</v>
      </c>
      <c r="F39" s="24" t="s">
        <v>18</v>
      </c>
      <c r="G39" s="26" t="s">
        <v>19</v>
      </c>
      <c r="H39" s="27" t="s">
        <v>20</v>
      </c>
      <c r="I39" s="27" t="s">
        <v>23</v>
      </c>
      <c r="J39" s="29" t="s">
        <v>13</v>
      </c>
      <c r="K39" s="30" t="s">
        <v>24</v>
      </c>
      <c r="L39" s="31" t="s">
        <v>26</v>
      </c>
      <c r="M39" s="31" t="s">
        <v>27</v>
      </c>
      <c r="N39" s="33" t="s">
        <v>28</v>
      </c>
      <c r="O39" s="35" t="s">
        <v>30</v>
      </c>
      <c r="P39" s="37" t="s">
        <v>31</v>
      </c>
      <c r="Q39" s="37" t="s">
        <v>32</v>
      </c>
      <c r="R39" s="39" t="s">
        <v>14</v>
      </c>
      <c r="S39" s="40" t="s">
        <v>33</v>
      </c>
      <c r="T39" s="17"/>
      <c r="U39" s="17"/>
      <c r="V39" s="17"/>
      <c r="W39" s="17"/>
      <c r="X39" s="17"/>
      <c r="Y39" s="17"/>
      <c r="Z39" s="17"/>
    </row>
    <row r="40" ht="21.75" customHeight="1">
      <c r="B40" s="131" t="s">
        <v>156</v>
      </c>
      <c r="C40" s="132"/>
      <c r="D40" s="132"/>
      <c r="E40" s="132"/>
      <c r="F40" s="133"/>
      <c r="G40" s="134"/>
      <c r="H40" s="132"/>
      <c r="I40" s="132"/>
      <c r="J40" s="133"/>
      <c r="K40" s="134"/>
      <c r="L40" s="132"/>
      <c r="M40" s="132"/>
      <c r="N40" s="133"/>
      <c r="O40" s="134"/>
      <c r="P40" s="132"/>
      <c r="Q40" s="132"/>
      <c r="R40" s="133"/>
      <c r="S40" s="134"/>
    </row>
    <row r="41" ht="21.75" customHeight="1">
      <c r="B41" s="135" t="s">
        <v>157</v>
      </c>
      <c r="C41" s="136">
        <v>100.0</v>
      </c>
      <c r="D41" s="136">
        <v>100.0</v>
      </c>
      <c r="E41" s="136">
        <v>100.0</v>
      </c>
      <c r="F41" s="137">
        <f t="shared" ref="F41:F49" si="66">SUM(C41:E41)</f>
        <v>300</v>
      </c>
      <c r="G41" s="136">
        <v>100.0</v>
      </c>
      <c r="H41" s="136">
        <v>150.0</v>
      </c>
      <c r="I41" s="136">
        <v>80.0</v>
      </c>
      <c r="J41" s="139">
        <f t="shared" ref="J41:J49" si="67">SUM(G41:I41)</f>
        <v>330</v>
      </c>
      <c r="K41" s="136">
        <v>0.0</v>
      </c>
      <c r="L41" s="136">
        <v>0.0</v>
      </c>
      <c r="M41" s="136">
        <v>0.0</v>
      </c>
      <c r="N41" s="140">
        <f t="shared" ref="N41:N49" si="68">SUM(K41:M41)</f>
        <v>0</v>
      </c>
      <c r="O41" s="136">
        <v>100.0</v>
      </c>
      <c r="P41" s="136">
        <v>150.0</v>
      </c>
      <c r="Q41" s="136">
        <v>80.0</v>
      </c>
      <c r="R41" s="141">
        <f t="shared" ref="R41:R49" si="69">SUM(O41:Q41)</f>
        <v>330</v>
      </c>
      <c r="S41" s="142">
        <f t="shared" ref="S41:S49" si="70">SUM(F41,J41,N41,R41)</f>
        <v>960</v>
      </c>
    </row>
    <row r="42" ht="21.75" customHeight="1">
      <c r="B42" s="135" t="s">
        <v>158</v>
      </c>
      <c r="C42" s="136">
        <v>300.0</v>
      </c>
      <c r="D42" s="136">
        <v>200.0</v>
      </c>
      <c r="E42" s="136">
        <v>0.0</v>
      </c>
      <c r="F42" s="137">
        <f t="shared" si="66"/>
        <v>500</v>
      </c>
      <c r="G42" s="136">
        <v>250.0</v>
      </c>
      <c r="H42" s="136">
        <v>0.0</v>
      </c>
      <c r="I42" s="136">
        <v>125.0</v>
      </c>
      <c r="J42" s="139">
        <f t="shared" si="67"/>
        <v>375</v>
      </c>
      <c r="K42" s="136">
        <v>0.0</v>
      </c>
      <c r="L42" s="136">
        <v>0.0</v>
      </c>
      <c r="M42" s="136">
        <v>0.0</v>
      </c>
      <c r="N42" s="140">
        <f t="shared" si="68"/>
        <v>0</v>
      </c>
      <c r="O42" s="136">
        <v>250.0</v>
      </c>
      <c r="P42" s="136">
        <v>0.0</v>
      </c>
      <c r="Q42" s="136">
        <v>125.0</v>
      </c>
      <c r="R42" s="141">
        <f t="shared" si="69"/>
        <v>375</v>
      </c>
      <c r="S42" s="142">
        <f t="shared" si="70"/>
        <v>1250</v>
      </c>
    </row>
    <row r="43" ht="21.75" customHeight="1">
      <c r="B43" s="135" t="s">
        <v>159</v>
      </c>
      <c r="C43" s="136">
        <v>150.0</v>
      </c>
      <c r="D43" s="136">
        <v>80.0</v>
      </c>
      <c r="E43" s="136">
        <v>200.0</v>
      </c>
      <c r="F43" s="137">
        <f t="shared" si="66"/>
        <v>430</v>
      </c>
      <c r="G43" s="136">
        <v>65.0</v>
      </c>
      <c r="H43" s="136">
        <v>65.0</v>
      </c>
      <c r="I43" s="136">
        <v>250.0</v>
      </c>
      <c r="J43" s="139">
        <f t="shared" si="67"/>
        <v>380</v>
      </c>
      <c r="K43" s="136">
        <v>0.0</v>
      </c>
      <c r="L43" s="136">
        <v>0.0</v>
      </c>
      <c r="M43" s="136">
        <v>0.0</v>
      </c>
      <c r="N43" s="140">
        <f t="shared" si="68"/>
        <v>0</v>
      </c>
      <c r="O43" s="136">
        <v>65.0</v>
      </c>
      <c r="P43" s="136">
        <v>65.0</v>
      </c>
      <c r="Q43" s="136">
        <v>250.0</v>
      </c>
      <c r="R43" s="141">
        <f t="shared" si="69"/>
        <v>380</v>
      </c>
      <c r="S43" s="142">
        <f t="shared" si="70"/>
        <v>1190</v>
      </c>
    </row>
    <row r="44" ht="21.75" customHeight="1">
      <c r="B44" s="135" t="s">
        <v>160</v>
      </c>
      <c r="C44" s="136">
        <v>0.0</v>
      </c>
      <c r="D44" s="136">
        <v>0.0</v>
      </c>
      <c r="E44" s="136">
        <v>0.0</v>
      </c>
      <c r="F44" s="137">
        <f t="shared" si="66"/>
        <v>0</v>
      </c>
      <c r="G44" s="136">
        <v>0.0</v>
      </c>
      <c r="H44" s="136">
        <v>0.0</v>
      </c>
      <c r="I44" s="136">
        <v>0.0</v>
      </c>
      <c r="J44" s="139">
        <f t="shared" si="67"/>
        <v>0</v>
      </c>
      <c r="K44" s="136">
        <v>0.0</v>
      </c>
      <c r="L44" s="136">
        <v>0.0</v>
      </c>
      <c r="M44" s="136">
        <v>0.0</v>
      </c>
      <c r="N44" s="140">
        <f t="shared" si="68"/>
        <v>0</v>
      </c>
      <c r="O44" s="136">
        <v>0.0</v>
      </c>
      <c r="P44" s="136">
        <v>0.0</v>
      </c>
      <c r="Q44" s="136">
        <v>0.0</v>
      </c>
      <c r="R44" s="141">
        <f t="shared" si="69"/>
        <v>0</v>
      </c>
      <c r="S44" s="142">
        <f t="shared" si="70"/>
        <v>0</v>
      </c>
    </row>
    <row r="45" ht="21.75" customHeight="1">
      <c r="B45" s="135" t="s">
        <v>161</v>
      </c>
      <c r="C45" s="136">
        <v>200.0</v>
      </c>
      <c r="D45" s="136">
        <v>200.0</v>
      </c>
      <c r="E45" s="136">
        <v>200.0</v>
      </c>
      <c r="F45" s="137">
        <f t="shared" si="66"/>
        <v>600</v>
      </c>
      <c r="G45" s="136">
        <v>200.0</v>
      </c>
      <c r="H45" s="136">
        <v>200.0</v>
      </c>
      <c r="I45" s="136">
        <v>200.0</v>
      </c>
      <c r="J45" s="139">
        <f t="shared" si="67"/>
        <v>600</v>
      </c>
      <c r="K45" s="136">
        <v>0.0</v>
      </c>
      <c r="L45" s="136">
        <v>0.0</v>
      </c>
      <c r="M45" s="136">
        <v>0.0</v>
      </c>
      <c r="N45" s="140">
        <f t="shared" si="68"/>
        <v>0</v>
      </c>
      <c r="O45" s="136">
        <v>200.0</v>
      </c>
      <c r="P45" s="136">
        <v>200.0</v>
      </c>
      <c r="Q45" s="136">
        <v>200.0</v>
      </c>
      <c r="R45" s="141">
        <f t="shared" si="69"/>
        <v>600</v>
      </c>
      <c r="S45" s="142">
        <f t="shared" si="70"/>
        <v>1800</v>
      </c>
    </row>
    <row r="46" ht="21.75" customHeight="1">
      <c r="B46" s="135" t="s">
        <v>76</v>
      </c>
      <c r="C46" s="136">
        <v>0.0</v>
      </c>
      <c r="D46" s="136">
        <v>0.0</v>
      </c>
      <c r="E46" s="136">
        <v>0.0</v>
      </c>
      <c r="F46" s="137">
        <f t="shared" si="66"/>
        <v>0</v>
      </c>
      <c r="G46" s="136">
        <v>0.0</v>
      </c>
      <c r="H46" s="136">
        <v>0.0</v>
      </c>
      <c r="I46" s="136">
        <v>0.0</v>
      </c>
      <c r="J46" s="139">
        <f t="shared" si="67"/>
        <v>0</v>
      </c>
      <c r="K46" s="136">
        <v>0.0</v>
      </c>
      <c r="L46" s="136">
        <v>0.0</v>
      </c>
      <c r="M46" s="136">
        <v>0.0</v>
      </c>
      <c r="N46" s="140">
        <f t="shared" si="68"/>
        <v>0</v>
      </c>
      <c r="O46" s="136">
        <v>0.0</v>
      </c>
      <c r="P46" s="136">
        <v>0.0</v>
      </c>
      <c r="Q46" s="136">
        <v>0.0</v>
      </c>
      <c r="R46" s="141">
        <f t="shared" si="69"/>
        <v>0</v>
      </c>
      <c r="S46" s="142">
        <f t="shared" si="70"/>
        <v>0</v>
      </c>
    </row>
    <row r="47" ht="21.75" customHeight="1">
      <c r="B47" s="135" t="s">
        <v>76</v>
      </c>
      <c r="C47" s="136">
        <v>0.0</v>
      </c>
      <c r="D47" s="136">
        <v>0.0</v>
      </c>
      <c r="E47" s="136">
        <v>0.0</v>
      </c>
      <c r="F47" s="137">
        <f t="shared" si="66"/>
        <v>0</v>
      </c>
      <c r="G47" s="136">
        <v>0.0</v>
      </c>
      <c r="H47" s="136">
        <v>0.0</v>
      </c>
      <c r="I47" s="136">
        <v>0.0</v>
      </c>
      <c r="J47" s="139">
        <f t="shared" si="67"/>
        <v>0</v>
      </c>
      <c r="K47" s="136">
        <v>0.0</v>
      </c>
      <c r="L47" s="136">
        <v>0.0</v>
      </c>
      <c r="M47" s="136">
        <v>0.0</v>
      </c>
      <c r="N47" s="140">
        <f t="shared" si="68"/>
        <v>0</v>
      </c>
      <c r="O47" s="136">
        <v>0.0</v>
      </c>
      <c r="P47" s="136">
        <v>0.0</v>
      </c>
      <c r="Q47" s="136">
        <v>0.0</v>
      </c>
      <c r="R47" s="141">
        <f t="shared" si="69"/>
        <v>0</v>
      </c>
      <c r="S47" s="142">
        <f t="shared" si="70"/>
        <v>0</v>
      </c>
    </row>
    <row r="48" ht="21.75" customHeight="1">
      <c r="B48" s="135" t="s">
        <v>76</v>
      </c>
      <c r="C48" s="136">
        <v>0.0</v>
      </c>
      <c r="D48" s="136">
        <v>0.0</v>
      </c>
      <c r="E48" s="136">
        <v>0.0</v>
      </c>
      <c r="F48" s="137">
        <f t="shared" si="66"/>
        <v>0</v>
      </c>
      <c r="G48" s="136">
        <v>0.0</v>
      </c>
      <c r="H48" s="136">
        <v>0.0</v>
      </c>
      <c r="I48" s="136">
        <v>0.0</v>
      </c>
      <c r="J48" s="139">
        <f t="shared" si="67"/>
        <v>0</v>
      </c>
      <c r="K48" s="136">
        <v>0.0</v>
      </c>
      <c r="L48" s="136">
        <v>0.0</v>
      </c>
      <c r="M48" s="136">
        <v>0.0</v>
      </c>
      <c r="N48" s="140">
        <f t="shared" si="68"/>
        <v>0</v>
      </c>
      <c r="O48" s="136">
        <v>0.0</v>
      </c>
      <c r="P48" s="136">
        <v>0.0</v>
      </c>
      <c r="Q48" s="136">
        <v>0.0</v>
      </c>
      <c r="R48" s="141">
        <f t="shared" si="69"/>
        <v>0</v>
      </c>
      <c r="S48" s="142">
        <f t="shared" si="70"/>
        <v>0</v>
      </c>
    </row>
    <row r="49" ht="21.75" customHeight="1">
      <c r="B49" s="143" t="s">
        <v>162</v>
      </c>
      <c r="C49" s="180">
        <f t="shared" ref="C49:E49" si="71">SUM(C41:C48)</f>
        <v>750</v>
      </c>
      <c r="D49" s="180">
        <f t="shared" si="71"/>
        <v>580</v>
      </c>
      <c r="E49" s="180">
        <f t="shared" si="71"/>
        <v>500</v>
      </c>
      <c r="F49" s="137">
        <f t="shared" si="66"/>
        <v>1830</v>
      </c>
      <c r="G49" s="181">
        <f t="shared" ref="G49:I49" si="72">SUM(G41:G48)</f>
        <v>615</v>
      </c>
      <c r="H49" s="182">
        <f t="shared" si="72"/>
        <v>415</v>
      </c>
      <c r="I49" s="182">
        <f t="shared" si="72"/>
        <v>655</v>
      </c>
      <c r="J49" s="139">
        <f t="shared" si="67"/>
        <v>1685</v>
      </c>
      <c r="K49" s="183">
        <f t="shared" ref="K49:M49" si="73">SUM(K41:K48)</f>
        <v>0</v>
      </c>
      <c r="L49" s="184">
        <f t="shared" si="73"/>
        <v>0</v>
      </c>
      <c r="M49" s="184">
        <f t="shared" si="73"/>
        <v>0</v>
      </c>
      <c r="N49" s="140">
        <f t="shared" si="68"/>
        <v>0</v>
      </c>
      <c r="O49" s="185">
        <f t="shared" ref="O49:Q49" si="74">SUM(O41:O48)</f>
        <v>615</v>
      </c>
      <c r="P49" s="186">
        <f t="shared" si="74"/>
        <v>415</v>
      </c>
      <c r="Q49" s="186">
        <f t="shared" si="74"/>
        <v>655</v>
      </c>
      <c r="R49" s="141">
        <f t="shared" si="69"/>
        <v>1685</v>
      </c>
      <c r="S49" s="151">
        <f t="shared" si="70"/>
        <v>5200</v>
      </c>
    </row>
    <row r="50" ht="21.75" customHeight="1">
      <c r="B50" s="131" t="s">
        <v>163</v>
      </c>
      <c r="C50" s="132"/>
      <c r="D50" s="132"/>
      <c r="E50" s="132"/>
      <c r="F50" s="133"/>
      <c r="G50" s="134"/>
      <c r="H50" s="132"/>
      <c r="I50" s="132"/>
      <c r="J50" s="133"/>
      <c r="K50" s="134"/>
      <c r="L50" s="132"/>
      <c r="M50" s="132"/>
      <c r="N50" s="133"/>
      <c r="O50" s="134"/>
      <c r="P50" s="132"/>
      <c r="Q50" s="132"/>
      <c r="R50" s="133"/>
      <c r="S50" s="134"/>
    </row>
    <row r="51" ht="21.75" customHeight="1">
      <c r="B51" s="135" t="s">
        <v>164</v>
      </c>
      <c r="C51" s="136">
        <v>800.0</v>
      </c>
      <c r="D51" s="136">
        <v>500.0</v>
      </c>
      <c r="E51" s="136">
        <v>0.0</v>
      </c>
      <c r="F51" s="137">
        <f t="shared" ref="F51:F61" si="75">SUM(C51:E51)</f>
        <v>1300</v>
      </c>
      <c r="G51" s="136">
        <v>200.0</v>
      </c>
      <c r="H51" s="136">
        <v>0.0</v>
      </c>
      <c r="I51" s="136">
        <v>500.0</v>
      </c>
      <c r="J51" s="139">
        <f t="shared" ref="J51:J61" si="76">SUM(G51:I51)</f>
        <v>700</v>
      </c>
      <c r="K51" s="136">
        <v>200.0</v>
      </c>
      <c r="L51" s="136">
        <v>0.0</v>
      </c>
      <c r="M51" s="136">
        <v>500.0</v>
      </c>
      <c r="N51" s="140">
        <f t="shared" ref="N51:N61" si="77">SUM(K51:M51)</f>
        <v>700</v>
      </c>
      <c r="O51" s="136">
        <v>800.0</v>
      </c>
      <c r="P51" s="136">
        <v>500.0</v>
      </c>
      <c r="Q51" s="136">
        <v>0.0</v>
      </c>
      <c r="R51" s="141">
        <f t="shared" ref="R51:R61" si="78">SUM(O51:Q51)</f>
        <v>1300</v>
      </c>
      <c r="S51" s="142">
        <f t="shared" ref="S51:S61" si="79">SUM(F51,J51,N51,R51)</f>
        <v>4000</v>
      </c>
    </row>
    <row r="52" ht="21.75" customHeight="1">
      <c r="B52" s="135" t="s">
        <v>165</v>
      </c>
      <c r="C52" s="136">
        <v>0.0</v>
      </c>
      <c r="D52" s="136">
        <v>0.0</v>
      </c>
      <c r="E52" s="136">
        <v>0.0</v>
      </c>
      <c r="F52" s="137">
        <f t="shared" si="75"/>
        <v>0</v>
      </c>
      <c r="G52" s="136">
        <v>0.0</v>
      </c>
      <c r="H52" s="136">
        <v>0.0</v>
      </c>
      <c r="I52" s="136">
        <v>0.0</v>
      </c>
      <c r="J52" s="139">
        <f t="shared" si="76"/>
        <v>0</v>
      </c>
      <c r="K52" s="136">
        <v>0.0</v>
      </c>
      <c r="L52" s="136">
        <v>0.0</v>
      </c>
      <c r="M52" s="136">
        <v>0.0</v>
      </c>
      <c r="N52" s="140">
        <f t="shared" si="77"/>
        <v>0</v>
      </c>
      <c r="O52" s="136">
        <v>0.0</v>
      </c>
      <c r="P52" s="136">
        <v>0.0</v>
      </c>
      <c r="Q52" s="136">
        <v>0.0</v>
      </c>
      <c r="R52" s="141">
        <f t="shared" si="78"/>
        <v>0</v>
      </c>
      <c r="S52" s="142">
        <f t="shared" si="79"/>
        <v>0</v>
      </c>
    </row>
    <row r="53" ht="21.75" customHeight="1">
      <c r="B53" s="135" t="s">
        <v>166</v>
      </c>
      <c r="C53" s="136">
        <v>80.0</v>
      </c>
      <c r="D53" s="136">
        <v>80.0</v>
      </c>
      <c r="E53" s="136">
        <v>150.0</v>
      </c>
      <c r="F53" s="137">
        <f t="shared" si="75"/>
        <v>310</v>
      </c>
      <c r="G53" s="136">
        <v>200.0</v>
      </c>
      <c r="H53" s="136">
        <v>80.0</v>
      </c>
      <c r="I53" s="136">
        <v>80.0</v>
      </c>
      <c r="J53" s="139">
        <f t="shared" si="76"/>
        <v>360</v>
      </c>
      <c r="K53" s="136">
        <v>200.0</v>
      </c>
      <c r="L53" s="136">
        <v>80.0</v>
      </c>
      <c r="M53" s="136">
        <v>80.0</v>
      </c>
      <c r="N53" s="140">
        <f t="shared" si="77"/>
        <v>360</v>
      </c>
      <c r="O53" s="136">
        <v>80.0</v>
      </c>
      <c r="P53" s="136">
        <v>80.0</v>
      </c>
      <c r="Q53" s="136">
        <v>150.0</v>
      </c>
      <c r="R53" s="141">
        <f t="shared" si="78"/>
        <v>310</v>
      </c>
      <c r="S53" s="142">
        <f t="shared" si="79"/>
        <v>1340</v>
      </c>
    </row>
    <row r="54" ht="21.75" customHeight="1">
      <c r="B54" s="135" t="s">
        <v>167</v>
      </c>
      <c r="C54" s="136">
        <v>0.0</v>
      </c>
      <c r="D54" s="136">
        <v>0.0</v>
      </c>
      <c r="E54" s="136">
        <v>0.0</v>
      </c>
      <c r="F54" s="137">
        <f t="shared" si="75"/>
        <v>0</v>
      </c>
      <c r="G54" s="136">
        <v>0.0</v>
      </c>
      <c r="H54" s="136">
        <v>0.0</v>
      </c>
      <c r="I54" s="136">
        <v>0.0</v>
      </c>
      <c r="J54" s="139">
        <f t="shared" si="76"/>
        <v>0</v>
      </c>
      <c r="K54" s="136">
        <v>0.0</v>
      </c>
      <c r="L54" s="136">
        <v>0.0</v>
      </c>
      <c r="M54" s="136">
        <v>0.0</v>
      </c>
      <c r="N54" s="140">
        <f t="shared" si="77"/>
        <v>0</v>
      </c>
      <c r="O54" s="136">
        <v>0.0</v>
      </c>
      <c r="P54" s="136">
        <v>0.0</v>
      </c>
      <c r="Q54" s="136">
        <v>0.0</v>
      </c>
      <c r="R54" s="141">
        <f t="shared" si="78"/>
        <v>0</v>
      </c>
      <c r="S54" s="142">
        <f t="shared" si="79"/>
        <v>0</v>
      </c>
    </row>
    <row r="55" ht="21.75" customHeight="1">
      <c r="B55" s="135" t="s">
        <v>168</v>
      </c>
      <c r="C55" s="136">
        <v>35.0</v>
      </c>
      <c r="D55" s="136">
        <v>35.0</v>
      </c>
      <c r="E55" s="136">
        <v>35.0</v>
      </c>
      <c r="F55" s="137">
        <f t="shared" si="75"/>
        <v>105</v>
      </c>
      <c r="G55" s="136">
        <v>35.0</v>
      </c>
      <c r="H55" s="136">
        <v>35.0</v>
      </c>
      <c r="I55" s="136">
        <v>35.0</v>
      </c>
      <c r="J55" s="139">
        <f t="shared" si="76"/>
        <v>105</v>
      </c>
      <c r="K55" s="136">
        <v>35.0</v>
      </c>
      <c r="L55" s="136">
        <v>35.0</v>
      </c>
      <c r="M55" s="136">
        <v>35.0</v>
      </c>
      <c r="N55" s="140">
        <f t="shared" si="77"/>
        <v>105</v>
      </c>
      <c r="O55" s="136">
        <v>35.0</v>
      </c>
      <c r="P55" s="136">
        <v>35.0</v>
      </c>
      <c r="Q55" s="136">
        <v>35.0</v>
      </c>
      <c r="R55" s="141">
        <f t="shared" si="78"/>
        <v>105</v>
      </c>
      <c r="S55" s="142">
        <f t="shared" si="79"/>
        <v>420</v>
      </c>
    </row>
    <row r="56" ht="21.75" customHeight="1">
      <c r="B56" s="135" t="s">
        <v>169</v>
      </c>
      <c r="C56" s="136">
        <v>125.0</v>
      </c>
      <c r="D56" s="136">
        <v>125.0</v>
      </c>
      <c r="E56" s="136">
        <v>125.0</v>
      </c>
      <c r="F56" s="137">
        <f t="shared" si="75"/>
        <v>375</v>
      </c>
      <c r="G56" s="136">
        <v>125.0</v>
      </c>
      <c r="H56" s="136">
        <v>125.0</v>
      </c>
      <c r="I56" s="136">
        <v>125.0</v>
      </c>
      <c r="J56" s="139">
        <f t="shared" si="76"/>
        <v>375</v>
      </c>
      <c r="K56" s="136">
        <v>125.0</v>
      </c>
      <c r="L56" s="136">
        <v>125.0</v>
      </c>
      <c r="M56" s="136">
        <v>125.0</v>
      </c>
      <c r="N56" s="140">
        <f t="shared" si="77"/>
        <v>375</v>
      </c>
      <c r="O56" s="136">
        <v>125.0</v>
      </c>
      <c r="P56" s="136">
        <v>125.0</v>
      </c>
      <c r="Q56" s="136">
        <v>125.0</v>
      </c>
      <c r="R56" s="141">
        <f t="shared" si="78"/>
        <v>375</v>
      </c>
      <c r="S56" s="142">
        <f t="shared" si="79"/>
        <v>1500</v>
      </c>
    </row>
    <row r="57" ht="21.75" customHeight="1">
      <c r="B57" s="135" t="s">
        <v>170</v>
      </c>
      <c r="C57" s="136">
        <v>0.0</v>
      </c>
      <c r="D57" s="136">
        <v>0.0</v>
      </c>
      <c r="E57" s="136">
        <v>0.0</v>
      </c>
      <c r="F57" s="137">
        <f t="shared" si="75"/>
        <v>0</v>
      </c>
      <c r="G57" s="136">
        <v>0.0</v>
      </c>
      <c r="H57" s="136">
        <v>0.0</v>
      </c>
      <c r="I57" s="136">
        <v>0.0</v>
      </c>
      <c r="J57" s="139">
        <f t="shared" si="76"/>
        <v>0</v>
      </c>
      <c r="K57" s="136">
        <v>0.0</v>
      </c>
      <c r="L57" s="136">
        <v>0.0</v>
      </c>
      <c r="M57" s="136">
        <v>0.0</v>
      </c>
      <c r="N57" s="140">
        <f t="shared" si="77"/>
        <v>0</v>
      </c>
      <c r="O57" s="136">
        <v>0.0</v>
      </c>
      <c r="P57" s="136">
        <v>0.0</v>
      </c>
      <c r="Q57" s="136">
        <v>0.0</v>
      </c>
      <c r="R57" s="141">
        <f t="shared" si="78"/>
        <v>0</v>
      </c>
      <c r="S57" s="142">
        <f t="shared" si="79"/>
        <v>0</v>
      </c>
    </row>
    <row r="58" ht="21.75" customHeight="1">
      <c r="B58" s="135" t="s">
        <v>76</v>
      </c>
      <c r="C58" s="136">
        <v>0.0</v>
      </c>
      <c r="D58" s="136">
        <v>0.0</v>
      </c>
      <c r="E58" s="136">
        <v>0.0</v>
      </c>
      <c r="F58" s="137">
        <f t="shared" si="75"/>
        <v>0</v>
      </c>
      <c r="G58" s="136">
        <v>0.0</v>
      </c>
      <c r="H58" s="136">
        <v>0.0</v>
      </c>
      <c r="I58" s="136">
        <v>0.0</v>
      </c>
      <c r="J58" s="139">
        <f t="shared" si="76"/>
        <v>0</v>
      </c>
      <c r="K58" s="136">
        <v>0.0</v>
      </c>
      <c r="L58" s="136">
        <v>0.0</v>
      </c>
      <c r="M58" s="136">
        <v>0.0</v>
      </c>
      <c r="N58" s="140">
        <f t="shared" si="77"/>
        <v>0</v>
      </c>
      <c r="O58" s="136">
        <v>0.0</v>
      </c>
      <c r="P58" s="136">
        <v>0.0</v>
      </c>
      <c r="Q58" s="136">
        <v>0.0</v>
      </c>
      <c r="R58" s="141">
        <f t="shared" si="78"/>
        <v>0</v>
      </c>
      <c r="S58" s="142">
        <f t="shared" si="79"/>
        <v>0</v>
      </c>
    </row>
    <row r="59" ht="21.75" customHeight="1">
      <c r="B59" s="135" t="s">
        <v>76</v>
      </c>
      <c r="C59" s="136">
        <v>0.0</v>
      </c>
      <c r="D59" s="136">
        <v>0.0</v>
      </c>
      <c r="E59" s="136">
        <v>0.0</v>
      </c>
      <c r="F59" s="137">
        <f t="shared" si="75"/>
        <v>0</v>
      </c>
      <c r="G59" s="136">
        <v>0.0</v>
      </c>
      <c r="H59" s="136">
        <v>0.0</v>
      </c>
      <c r="I59" s="136">
        <v>0.0</v>
      </c>
      <c r="J59" s="139">
        <f t="shared" si="76"/>
        <v>0</v>
      </c>
      <c r="K59" s="136">
        <v>0.0</v>
      </c>
      <c r="L59" s="136">
        <v>0.0</v>
      </c>
      <c r="M59" s="136">
        <v>0.0</v>
      </c>
      <c r="N59" s="140">
        <f t="shared" si="77"/>
        <v>0</v>
      </c>
      <c r="O59" s="136">
        <v>0.0</v>
      </c>
      <c r="P59" s="136">
        <v>0.0</v>
      </c>
      <c r="Q59" s="136">
        <v>0.0</v>
      </c>
      <c r="R59" s="141">
        <f t="shared" si="78"/>
        <v>0</v>
      </c>
      <c r="S59" s="142">
        <f t="shared" si="79"/>
        <v>0</v>
      </c>
    </row>
    <row r="60" ht="21.75" customHeight="1">
      <c r="B60" s="135" t="s">
        <v>76</v>
      </c>
      <c r="C60" s="136">
        <v>0.0</v>
      </c>
      <c r="D60" s="136">
        <v>0.0</v>
      </c>
      <c r="E60" s="136">
        <v>0.0</v>
      </c>
      <c r="F60" s="137">
        <f t="shared" si="75"/>
        <v>0</v>
      </c>
      <c r="G60" s="136">
        <v>0.0</v>
      </c>
      <c r="H60" s="136">
        <v>0.0</v>
      </c>
      <c r="I60" s="136">
        <v>0.0</v>
      </c>
      <c r="J60" s="139">
        <f t="shared" si="76"/>
        <v>0</v>
      </c>
      <c r="K60" s="136">
        <v>0.0</v>
      </c>
      <c r="L60" s="136">
        <v>0.0</v>
      </c>
      <c r="M60" s="136">
        <v>0.0</v>
      </c>
      <c r="N60" s="140">
        <f t="shared" si="77"/>
        <v>0</v>
      </c>
      <c r="O60" s="136">
        <v>0.0</v>
      </c>
      <c r="P60" s="136">
        <v>0.0</v>
      </c>
      <c r="Q60" s="136">
        <v>0.0</v>
      </c>
      <c r="R60" s="141">
        <f t="shared" si="78"/>
        <v>0</v>
      </c>
      <c r="S60" s="142">
        <f t="shared" si="79"/>
        <v>0</v>
      </c>
    </row>
    <row r="61" ht="21.75" customHeight="1">
      <c r="B61" s="143" t="s">
        <v>171</v>
      </c>
      <c r="C61" s="180">
        <f t="shared" ref="C61:E61" si="80">SUM(C51:C60)</f>
        <v>1040</v>
      </c>
      <c r="D61" s="180">
        <f t="shared" si="80"/>
        <v>740</v>
      </c>
      <c r="E61" s="180">
        <f t="shared" si="80"/>
        <v>310</v>
      </c>
      <c r="F61" s="137">
        <f t="shared" si="75"/>
        <v>2090</v>
      </c>
      <c r="G61" s="181">
        <f t="shared" ref="G61:I61" si="81">SUM(G51:G60)</f>
        <v>560</v>
      </c>
      <c r="H61" s="182">
        <f t="shared" si="81"/>
        <v>240</v>
      </c>
      <c r="I61" s="182">
        <f t="shared" si="81"/>
        <v>740</v>
      </c>
      <c r="J61" s="139">
        <f t="shared" si="76"/>
        <v>1540</v>
      </c>
      <c r="K61" s="183">
        <f t="shared" ref="K61:M61" si="82">SUM(K51:K60)</f>
        <v>560</v>
      </c>
      <c r="L61" s="184">
        <f t="shared" si="82"/>
        <v>240</v>
      </c>
      <c r="M61" s="184">
        <f t="shared" si="82"/>
        <v>740</v>
      </c>
      <c r="N61" s="140">
        <f t="shared" si="77"/>
        <v>1540</v>
      </c>
      <c r="O61" s="185">
        <f t="shared" ref="O61:Q61" si="83">SUM(O51:O60)</f>
        <v>1040</v>
      </c>
      <c r="P61" s="186">
        <f t="shared" si="83"/>
        <v>740</v>
      </c>
      <c r="Q61" s="186">
        <f t="shared" si="83"/>
        <v>310</v>
      </c>
      <c r="R61" s="141">
        <f t="shared" si="78"/>
        <v>2090</v>
      </c>
      <c r="S61" s="151">
        <f t="shared" si="79"/>
        <v>7260</v>
      </c>
    </row>
    <row r="62" ht="21.75" customHeight="1">
      <c r="B62" s="131" t="s">
        <v>172</v>
      </c>
      <c r="C62" s="132"/>
      <c r="D62" s="132"/>
      <c r="E62" s="132"/>
      <c r="F62" s="133"/>
      <c r="G62" s="134"/>
      <c r="H62" s="132"/>
      <c r="I62" s="132"/>
      <c r="J62" s="133"/>
      <c r="K62" s="134"/>
      <c r="L62" s="132"/>
      <c r="M62" s="132"/>
      <c r="N62" s="133"/>
      <c r="O62" s="134"/>
      <c r="P62" s="132"/>
      <c r="Q62" s="132"/>
      <c r="R62" s="133"/>
      <c r="S62" s="134"/>
    </row>
    <row r="63" ht="21.75" customHeight="1">
      <c r="B63" s="135" t="s">
        <v>173</v>
      </c>
      <c r="C63" s="136">
        <v>300.0</v>
      </c>
      <c r="D63" s="136">
        <v>200.0</v>
      </c>
      <c r="E63" s="136">
        <v>80.0</v>
      </c>
      <c r="F63" s="137">
        <f t="shared" ref="F63:F68" si="84">SUM(C63:E63)</f>
        <v>580</v>
      </c>
      <c r="G63" s="136">
        <v>200.0</v>
      </c>
      <c r="H63" s="136">
        <v>80.0</v>
      </c>
      <c r="I63" s="136">
        <v>55.0</v>
      </c>
      <c r="J63" s="139">
        <f t="shared" ref="J63:J68" si="85">SUM(G63:I63)</f>
        <v>335</v>
      </c>
      <c r="K63" s="136">
        <v>200.0</v>
      </c>
      <c r="L63" s="136">
        <v>80.0</v>
      </c>
      <c r="M63" s="136">
        <v>55.0</v>
      </c>
      <c r="N63" s="140">
        <f t="shared" ref="N63:N68" si="86">SUM(K63:M63)</f>
        <v>335</v>
      </c>
      <c r="O63" s="136">
        <v>200.0</v>
      </c>
      <c r="P63" s="136">
        <v>80.0</v>
      </c>
      <c r="Q63" s="136">
        <v>55.0</v>
      </c>
      <c r="R63" s="141">
        <f t="shared" ref="R63:R68" si="87">SUM(O63:Q63)</f>
        <v>335</v>
      </c>
      <c r="S63" s="142">
        <f t="shared" ref="S63:S68" si="88">SUM(F63,J63,N63,R63)</f>
        <v>1585</v>
      </c>
    </row>
    <row r="64" ht="21.75" customHeight="1">
      <c r="B64" s="135" t="s">
        <v>174</v>
      </c>
      <c r="C64" s="136">
        <v>35.0</v>
      </c>
      <c r="D64" s="136">
        <v>35.0</v>
      </c>
      <c r="E64" s="136">
        <v>20.0</v>
      </c>
      <c r="F64" s="137">
        <f t="shared" si="84"/>
        <v>90</v>
      </c>
      <c r="G64" s="136">
        <v>22.0</v>
      </c>
      <c r="H64" s="136">
        <v>25.0</v>
      </c>
      <c r="I64" s="136">
        <v>25.0</v>
      </c>
      <c r="J64" s="139">
        <f t="shared" si="85"/>
        <v>72</v>
      </c>
      <c r="K64" s="136">
        <v>22.0</v>
      </c>
      <c r="L64" s="136">
        <v>25.0</v>
      </c>
      <c r="M64" s="136">
        <v>25.0</v>
      </c>
      <c r="N64" s="140">
        <f t="shared" si="86"/>
        <v>72</v>
      </c>
      <c r="O64" s="136">
        <v>22.0</v>
      </c>
      <c r="P64" s="136">
        <v>25.0</v>
      </c>
      <c r="Q64" s="136">
        <v>25.0</v>
      </c>
      <c r="R64" s="141">
        <f t="shared" si="87"/>
        <v>72</v>
      </c>
      <c r="S64" s="142">
        <f t="shared" si="88"/>
        <v>306</v>
      </c>
    </row>
    <row r="65" ht="21.75" customHeight="1">
      <c r="B65" s="135" t="s">
        <v>76</v>
      </c>
      <c r="C65" s="136">
        <v>0.0</v>
      </c>
      <c r="D65" s="136">
        <v>0.0</v>
      </c>
      <c r="E65" s="136">
        <v>0.0</v>
      </c>
      <c r="F65" s="137">
        <f t="shared" si="84"/>
        <v>0</v>
      </c>
      <c r="G65" s="136">
        <v>0.0</v>
      </c>
      <c r="H65" s="136">
        <v>0.0</v>
      </c>
      <c r="I65" s="136">
        <v>0.0</v>
      </c>
      <c r="J65" s="139">
        <f t="shared" si="85"/>
        <v>0</v>
      </c>
      <c r="K65" s="136">
        <v>0.0</v>
      </c>
      <c r="L65" s="136">
        <v>0.0</v>
      </c>
      <c r="M65" s="136">
        <v>0.0</v>
      </c>
      <c r="N65" s="140">
        <f t="shared" si="86"/>
        <v>0</v>
      </c>
      <c r="O65" s="136">
        <v>0.0</v>
      </c>
      <c r="P65" s="136">
        <v>0.0</v>
      </c>
      <c r="Q65" s="136">
        <v>0.0</v>
      </c>
      <c r="R65" s="141">
        <f t="shared" si="87"/>
        <v>0</v>
      </c>
      <c r="S65" s="142">
        <f t="shared" si="88"/>
        <v>0</v>
      </c>
    </row>
    <row r="66" ht="21.75" customHeight="1">
      <c r="B66" s="135" t="s">
        <v>76</v>
      </c>
      <c r="C66" s="136">
        <v>0.0</v>
      </c>
      <c r="D66" s="136">
        <v>0.0</v>
      </c>
      <c r="E66" s="136">
        <v>0.0</v>
      </c>
      <c r="F66" s="137">
        <f t="shared" si="84"/>
        <v>0</v>
      </c>
      <c r="G66" s="136">
        <v>0.0</v>
      </c>
      <c r="H66" s="136">
        <v>0.0</v>
      </c>
      <c r="I66" s="136">
        <v>0.0</v>
      </c>
      <c r="J66" s="139">
        <f t="shared" si="85"/>
        <v>0</v>
      </c>
      <c r="K66" s="136">
        <v>0.0</v>
      </c>
      <c r="L66" s="136">
        <v>0.0</v>
      </c>
      <c r="M66" s="136">
        <v>0.0</v>
      </c>
      <c r="N66" s="140">
        <f t="shared" si="86"/>
        <v>0</v>
      </c>
      <c r="O66" s="136">
        <v>0.0</v>
      </c>
      <c r="P66" s="136">
        <v>0.0</v>
      </c>
      <c r="Q66" s="136">
        <v>0.0</v>
      </c>
      <c r="R66" s="141">
        <f t="shared" si="87"/>
        <v>0</v>
      </c>
      <c r="S66" s="142">
        <f t="shared" si="88"/>
        <v>0</v>
      </c>
    </row>
    <row r="67" ht="21.75" customHeight="1">
      <c r="B67" s="135" t="s">
        <v>76</v>
      </c>
      <c r="C67" s="136">
        <v>0.0</v>
      </c>
      <c r="D67" s="136">
        <v>0.0</v>
      </c>
      <c r="E67" s="136">
        <v>0.0</v>
      </c>
      <c r="F67" s="137">
        <f t="shared" si="84"/>
        <v>0</v>
      </c>
      <c r="G67" s="136">
        <v>0.0</v>
      </c>
      <c r="H67" s="136">
        <v>0.0</v>
      </c>
      <c r="I67" s="136">
        <v>0.0</v>
      </c>
      <c r="J67" s="139">
        <f t="shared" si="85"/>
        <v>0</v>
      </c>
      <c r="K67" s="136">
        <v>0.0</v>
      </c>
      <c r="L67" s="136">
        <v>0.0</v>
      </c>
      <c r="M67" s="136">
        <v>0.0</v>
      </c>
      <c r="N67" s="140">
        <f t="shared" si="86"/>
        <v>0</v>
      </c>
      <c r="O67" s="136">
        <v>0.0</v>
      </c>
      <c r="P67" s="136">
        <v>0.0</v>
      </c>
      <c r="Q67" s="136">
        <v>0.0</v>
      </c>
      <c r="R67" s="141">
        <f t="shared" si="87"/>
        <v>0</v>
      </c>
      <c r="S67" s="142">
        <f t="shared" si="88"/>
        <v>0</v>
      </c>
    </row>
    <row r="68" ht="21.75" customHeight="1">
      <c r="B68" s="143" t="s">
        <v>176</v>
      </c>
      <c r="C68" s="180">
        <f t="shared" ref="C68:E68" si="89">SUM(C63:C67)</f>
        <v>335</v>
      </c>
      <c r="D68" s="180">
        <f t="shared" si="89"/>
        <v>235</v>
      </c>
      <c r="E68" s="180">
        <f t="shared" si="89"/>
        <v>100</v>
      </c>
      <c r="F68" s="137">
        <f t="shared" si="84"/>
        <v>670</v>
      </c>
      <c r="G68" s="181">
        <f t="shared" ref="G68:I68" si="90">SUM(G63:G67)</f>
        <v>222</v>
      </c>
      <c r="H68" s="182">
        <f t="shared" si="90"/>
        <v>105</v>
      </c>
      <c r="I68" s="182">
        <f t="shared" si="90"/>
        <v>80</v>
      </c>
      <c r="J68" s="139">
        <f t="shared" si="85"/>
        <v>407</v>
      </c>
      <c r="K68" s="183">
        <f t="shared" ref="K68:M68" si="91">SUM(K63:K67)</f>
        <v>222</v>
      </c>
      <c r="L68" s="184">
        <f t="shared" si="91"/>
        <v>105</v>
      </c>
      <c r="M68" s="184">
        <f t="shared" si="91"/>
        <v>80</v>
      </c>
      <c r="N68" s="140">
        <f t="shared" si="86"/>
        <v>407</v>
      </c>
      <c r="O68" s="185">
        <f t="shared" ref="O68:Q68" si="92">SUM(O63:O67)</f>
        <v>222</v>
      </c>
      <c r="P68" s="186">
        <f t="shared" si="92"/>
        <v>105</v>
      </c>
      <c r="Q68" s="186">
        <f t="shared" si="92"/>
        <v>80</v>
      </c>
      <c r="R68" s="141">
        <f t="shared" si="87"/>
        <v>407</v>
      </c>
      <c r="S68" s="151">
        <f t="shared" si="88"/>
        <v>1891</v>
      </c>
    </row>
    <row r="69" ht="21.75" customHeight="1">
      <c r="B69" s="131" t="s">
        <v>177</v>
      </c>
      <c r="C69" s="132"/>
      <c r="D69" s="132"/>
      <c r="E69" s="132"/>
      <c r="F69" s="133"/>
      <c r="G69" s="134"/>
      <c r="H69" s="132"/>
      <c r="I69" s="132"/>
      <c r="J69" s="133"/>
      <c r="K69" s="134"/>
      <c r="L69" s="132"/>
      <c r="M69" s="132"/>
      <c r="N69" s="133"/>
      <c r="O69" s="134"/>
      <c r="P69" s="132"/>
      <c r="Q69" s="132"/>
      <c r="R69" s="133"/>
      <c r="S69" s="134"/>
    </row>
    <row r="70" ht="21.75" customHeight="1">
      <c r="B70" s="135" t="s">
        <v>178</v>
      </c>
      <c r="C70" s="136">
        <v>15.0</v>
      </c>
      <c r="D70" s="136">
        <v>15.0</v>
      </c>
      <c r="E70" s="136">
        <v>15.0</v>
      </c>
      <c r="F70" s="137">
        <f t="shared" ref="F70:F75" si="93">SUM(C70:E70)</f>
        <v>45</v>
      </c>
      <c r="G70" s="136">
        <v>15.0</v>
      </c>
      <c r="H70" s="136">
        <v>15.0</v>
      </c>
      <c r="I70" s="136">
        <v>15.0</v>
      </c>
      <c r="J70" s="139">
        <f t="shared" ref="J70:J75" si="94">SUM(G70:I70)</f>
        <v>45</v>
      </c>
      <c r="K70" s="136">
        <v>15.0</v>
      </c>
      <c r="L70" s="136">
        <v>15.0</v>
      </c>
      <c r="M70" s="136">
        <v>15.0</v>
      </c>
      <c r="N70" s="140">
        <f t="shared" ref="N70:N75" si="95">SUM(K70:M70)</f>
        <v>45</v>
      </c>
      <c r="O70" s="136">
        <v>15.0</v>
      </c>
      <c r="P70" s="136">
        <v>15.0</v>
      </c>
      <c r="Q70" s="136">
        <v>15.0</v>
      </c>
      <c r="R70" s="141">
        <f t="shared" ref="R70:R75" si="96">SUM(O70:Q70)</f>
        <v>45</v>
      </c>
      <c r="S70" s="142">
        <f t="shared" ref="S70:S75" si="97">SUM(F70,J70,N70,R70)</f>
        <v>180</v>
      </c>
    </row>
    <row r="71" ht="21.75" customHeight="1">
      <c r="B71" s="135" t="s">
        <v>179</v>
      </c>
      <c r="C71" s="136">
        <v>0.0</v>
      </c>
      <c r="D71" s="136">
        <v>0.0</v>
      </c>
      <c r="E71" s="136">
        <v>0.0</v>
      </c>
      <c r="F71" s="137">
        <f t="shared" si="93"/>
        <v>0</v>
      </c>
      <c r="G71" s="136">
        <v>0.0</v>
      </c>
      <c r="H71" s="136">
        <v>0.0</v>
      </c>
      <c r="I71" s="136">
        <v>0.0</v>
      </c>
      <c r="J71" s="139">
        <f t="shared" si="94"/>
        <v>0</v>
      </c>
      <c r="K71" s="136">
        <v>0.0</v>
      </c>
      <c r="L71" s="136">
        <v>0.0</v>
      </c>
      <c r="M71" s="136">
        <v>0.0</v>
      </c>
      <c r="N71" s="140">
        <f t="shared" si="95"/>
        <v>0</v>
      </c>
      <c r="O71" s="136">
        <v>0.0</v>
      </c>
      <c r="P71" s="136">
        <v>0.0</v>
      </c>
      <c r="Q71" s="136">
        <v>0.0</v>
      </c>
      <c r="R71" s="141">
        <f t="shared" si="96"/>
        <v>0</v>
      </c>
      <c r="S71" s="142">
        <f t="shared" si="97"/>
        <v>0</v>
      </c>
    </row>
    <row r="72" ht="21.75" customHeight="1">
      <c r="B72" s="135" t="s">
        <v>76</v>
      </c>
      <c r="C72" s="136">
        <v>0.0</v>
      </c>
      <c r="D72" s="136">
        <v>0.0</v>
      </c>
      <c r="E72" s="136">
        <v>0.0</v>
      </c>
      <c r="F72" s="137">
        <f t="shared" si="93"/>
        <v>0</v>
      </c>
      <c r="G72" s="136">
        <v>0.0</v>
      </c>
      <c r="H72" s="136">
        <v>0.0</v>
      </c>
      <c r="I72" s="136">
        <v>0.0</v>
      </c>
      <c r="J72" s="139">
        <f t="shared" si="94"/>
        <v>0</v>
      </c>
      <c r="K72" s="136">
        <v>0.0</v>
      </c>
      <c r="L72" s="136">
        <v>0.0</v>
      </c>
      <c r="M72" s="136">
        <v>0.0</v>
      </c>
      <c r="N72" s="140">
        <f t="shared" si="95"/>
        <v>0</v>
      </c>
      <c r="O72" s="136">
        <v>0.0</v>
      </c>
      <c r="P72" s="136">
        <v>0.0</v>
      </c>
      <c r="Q72" s="136">
        <v>0.0</v>
      </c>
      <c r="R72" s="141">
        <f t="shared" si="96"/>
        <v>0</v>
      </c>
      <c r="S72" s="142">
        <f t="shared" si="97"/>
        <v>0</v>
      </c>
    </row>
    <row r="73" ht="21.75" customHeight="1">
      <c r="B73" s="135" t="s">
        <v>76</v>
      </c>
      <c r="C73" s="136">
        <v>0.0</v>
      </c>
      <c r="D73" s="136">
        <v>0.0</v>
      </c>
      <c r="E73" s="136">
        <v>0.0</v>
      </c>
      <c r="F73" s="137">
        <f t="shared" si="93"/>
        <v>0</v>
      </c>
      <c r="G73" s="136">
        <v>0.0</v>
      </c>
      <c r="H73" s="136">
        <v>0.0</v>
      </c>
      <c r="I73" s="136">
        <v>0.0</v>
      </c>
      <c r="J73" s="139">
        <f t="shared" si="94"/>
        <v>0</v>
      </c>
      <c r="K73" s="136">
        <v>0.0</v>
      </c>
      <c r="L73" s="136">
        <v>0.0</v>
      </c>
      <c r="M73" s="136">
        <v>0.0</v>
      </c>
      <c r="N73" s="140">
        <f t="shared" si="95"/>
        <v>0</v>
      </c>
      <c r="O73" s="136">
        <v>0.0</v>
      </c>
      <c r="P73" s="136">
        <v>0.0</v>
      </c>
      <c r="Q73" s="136">
        <v>0.0</v>
      </c>
      <c r="R73" s="141">
        <f t="shared" si="96"/>
        <v>0</v>
      </c>
      <c r="S73" s="142">
        <f t="shared" si="97"/>
        <v>0</v>
      </c>
    </row>
    <row r="74" ht="21.75" customHeight="1">
      <c r="B74" s="135" t="s">
        <v>76</v>
      </c>
      <c r="C74" s="136">
        <v>0.0</v>
      </c>
      <c r="D74" s="136">
        <v>0.0</v>
      </c>
      <c r="E74" s="136">
        <v>0.0</v>
      </c>
      <c r="F74" s="137">
        <f t="shared" si="93"/>
        <v>0</v>
      </c>
      <c r="G74" s="136">
        <v>0.0</v>
      </c>
      <c r="H74" s="136">
        <v>0.0</v>
      </c>
      <c r="I74" s="136">
        <v>0.0</v>
      </c>
      <c r="J74" s="139">
        <f t="shared" si="94"/>
        <v>0</v>
      </c>
      <c r="K74" s="136">
        <v>0.0</v>
      </c>
      <c r="L74" s="136">
        <v>0.0</v>
      </c>
      <c r="M74" s="136">
        <v>0.0</v>
      </c>
      <c r="N74" s="140">
        <f t="shared" si="95"/>
        <v>0</v>
      </c>
      <c r="O74" s="136">
        <v>0.0</v>
      </c>
      <c r="P74" s="136">
        <v>0.0</v>
      </c>
      <c r="Q74" s="136">
        <v>0.0</v>
      </c>
      <c r="R74" s="141">
        <f t="shared" si="96"/>
        <v>0</v>
      </c>
      <c r="S74" s="142">
        <f t="shared" si="97"/>
        <v>0</v>
      </c>
    </row>
    <row r="75" ht="21.75" customHeight="1">
      <c r="B75" s="143" t="s">
        <v>180</v>
      </c>
      <c r="C75" s="180">
        <f t="shared" ref="C75:E75" si="98">SUM(C70:C74)</f>
        <v>15</v>
      </c>
      <c r="D75" s="180">
        <f t="shared" si="98"/>
        <v>15</v>
      </c>
      <c r="E75" s="180">
        <f t="shared" si="98"/>
        <v>15</v>
      </c>
      <c r="F75" s="137">
        <f t="shared" si="93"/>
        <v>45</v>
      </c>
      <c r="G75" s="181">
        <f t="shared" ref="G75:I75" si="99">SUM(G70:G74)</f>
        <v>15</v>
      </c>
      <c r="H75" s="182">
        <f t="shared" si="99"/>
        <v>15</v>
      </c>
      <c r="I75" s="182">
        <f t="shared" si="99"/>
        <v>15</v>
      </c>
      <c r="J75" s="139">
        <f t="shared" si="94"/>
        <v>45</v>
      </c>
      <c r="K75" s="183">
        <f t="shared" ref="K75:M75" si="100">SUM(K70:K74)</f>
        <v>15</v>
      </c>
      <c r="L75" s="184">
        <f t="shared" si="100"/>
        <v>15</v>
      </c>
      <c r="M75" s="184">
        <f t="shared" si="100"/>
        <v>15</v>
      </c>
      <c r="N75" s="140">
        <f t="shared" si="95"/>
        <v>45</v>
      </c>
      <c r="O75" s="185">
        <f t="shared" ref="O75:Q75" si="101">SUM(O70:O74)</f>
        <v>15</v>
      </c>
      <c r="P75" s="186">
        <f t="shared" si="101"/>
        <v>15</v>
      </c>
      <c r="Q75" s="186">
        <f t="shared" si="101"/>
        <v>15</v>
      </c>
      <c r="R75" s="141">
        <f t="shared" si="96"/>
        <v>45</v>
      </c>
      <c r="S75" s="151">
        <f t="shared" si="97"/>
        <v>180</v>
      </c>
    </row>
    <row r="76" ht="21.75" customHeight="1">
      <c r="B76" s="131" t="s">
        <v>181</v>
      </c>
      <c r="C76" s="132"/>
      <c r="D76" s="132"/>
      <c r="E76" s="132"/>
      <c r="F76" s="133"/>
      <c r="G76" s="134"/>
      <c r="H76" s="132"/>
      <c r="I76" s="132"/>
      <c r="J76" s="133"/>
      <c r="K76" s="134"/>
      <c r="L76" s="132"/>
      <c r="M76" s="132"/>
      <c r="N76" s="133"/>
      <c r="O76" s="134"/>
      <c r="P76" s="132"/>
      <c r="Q76" s="132"/>
      <c r="R76" s="133"/>
      <c r="S76" s="134"/>
    </row>
    <row r="77" ht="21.75" customHeight="1">
      <c r="B77" s="135" t="s">
        <v>182</v>
      </c>
      <c r="C77" s="136">
        <v>1200.0</v>
      </c>
      <c r="D77" s="136">
        <v>1200.0</v>
      </c>
      <c r="E77" s="136">
        <v>1200.0</v>
      </c>
      <c r="F77" s="137">
        <f t="shared" ref="F77:F91" si="102">SUM(C77:E77)</f>
        <v>3600</v>
      </c>
      <c r="G77" s="136">
        <v>1200.0</v>
      </c>
      <c r="H77" s="136">
        <v>1200.0</v>
      </c>
      <c r="I77" s="136">
        <v>1200.0</v>
      </c>
      <c r="J77" s="139">
        <f t="shared" ref="J77:J91" si="103">SUM(G77:I77)</f>
        <v>3600</v>
      </c>
      <c r="K77" s="136">
        <v>1200.0</v>
      </c>
      <c r="L77" s="136">
        <v>1200.0</v>
      </c>
      <c r="M77" s="136">
        <v>1200.0</v>
      </c>
      <c r="N77" s="140">
        <f t="shared" ref="N77:N91" si="104">SUM(K77:M77)</f>
        <v>3600</v>
      </c>
      <c r="O77" s="136">
        <v>1200.0</v>
      </c>
      <c r="P77" s="136">
        <v>1200.0</v>
      </c>
      <c r="Q77" s="136">
        <v>1200.0</v>
      </c>
      <c r="R77" s="141">
        <f t="shared" ref="R77:R91" si="105">SUM(O77:Q77)</f>
        <v>3600</v>
      </c>
      <c r="S77" s="142">
        <f t="shared" ref="S77:S91" si="106">SUM(F77,J77,N77,R77)</f>
        <v>14400</v>
      </c>
    </row>
    <row r="78" ht="21.75" customHeight="1">
      <c r="B78" s="135" t="s">
        <v>183</v>
      </c>
      <c r="C78" s="136">
        <v>100.0</v>
      </c>
      <c r="D78" s="136">
        <v>100.0</v>
      </c>
      <c r="E78" s="136">
        <v>100.0</v>
      </c>
      <c r="F78" s="137">
        <f t="shared" si="102"/>
        <v>300</v>
      </c>
      <c r="G78" s="136">
        <v>100.0</v>
      </c>
      <c r="H78" s="136">
        <v>100.0</v>
      </c>
      <c r="I78" s="136">
        <v>100.0</v>
      </c>
      <c r="J78" s="139">
        <f t="shared" si="103"/>
        <v>300</v>
      </c>
      <c r="K78" s="136">
        <v>100.0</v>
      </c>
      <c r="L78" s="136">
        <v>100.0</v>
      </c>
      <c r="M78" s="136">
        <v>100.0</v>
      </c>
      <c r="N78" s="140">
        <f t="shared" si="104"/>
        <v>300</v>
      </c>
      <c r="O78" s="136">
        <v>100.0</v>
      </c>
      <c r="P78" s="136">
        <v>100.0</v>
      </c>
      <c r="Q78" s="136">
        <v>100.0</v>
      </c>
      <c r="R78" s="141">
        <f t="shared" si="105"/>
        <v>300</v>
      </c>
      <c r="S78" s="142">
        <f t="shared" si="106"/>
        <v>1200</v>
      </c>
    </row>
    <row r="79" ht="21.75" customHeight="1">
      <c r="B79" s="135" t="s">
        <v>184</v>
      </c>
      <c r="C79" s="136">
        <v>140.0</v>
      </c>
      <c r="D79" s="136">
        <v>140.0</v>
      </c>
      <c r="E79" s="136">
        <v>140.0</v>
      </c>
      <c r="F79" s="137">
        <f t="shared" si="102"/>
        <v>420</v>
      </c>
      <c r="G79" s="136">
        <v>140.0</v>
      </c>
      <c r="H79" s="136">
        <v>140.0</v>
      </c>
      <c r="I79" s="136">
        <v>140.0</v>
      </c>
      <c r="J79" s="139">
        <f t="shared" si="103"/>
        <v>420</v>
      </c>
      <c r="K79" s="136">
        <v>140.0</v>
      </c>
      <c r="L79" s="136">
        <v>140.0</v>
      </c>
      <c r="M79" s="136">
        <v>140.0</v>
      </c>
      <c r="N79" s="140">
        <f t="shared" si="104"/>
        <v>420</v>
      </c>
      <c r="O79" s="136">
        <v>140.0</v>
      </c>
      <c r="P79" s="136">
        <v>140.0</v>
      </c>
      <c r="Q79" s="136">
        <v>140.0</v>
      </c>
      <c r="R79" s="141">
        <f t="shared" si="105"/>
        <v>420</v>
      </c>
      <c r="S79" s="142">
        <f t="shared" si="106"/>
        <v>1680</v>
      </c>
    </row>
    <row r="80" ht="21.75" customHeight="1">
      <c r="B80" s="135" t="s">
        <v>185</v>
      </c>
      <c r="C80" s="136">
        <v>75.0</v>
      </c>
      <c r="D80" s="136">
        <v>75.0</v>
      </c>
      <c r="E80" s="136">
        <v>75.0</v>
      </c>
      <c r="F80" s="137">
        <f t="shared" si="102"/>
        <v>225</v>
      </c>
      <c r="G80" s="136">
        <v>50.0</v>
      </c>
      <c r="H80" s="136">
        <v>50.0</v>
      </c>
      <c r="I80" s="136">
        <v>50.0</v>
      </c>
      <c r="J80" s="139">
        <f t="shared" si="103"/>
        <v>150</v>
      </c>
      <c r="K80" s="136">
        <v>50.0</v>
      </c>
      <c r="L80" s="136">
        <v>50.0</v>
      </c>
      <c r="M80" s="136">
        <v>50.0</v>
      </c>
      <c r="N80" s="140">
        <f t="shared" si="104"/>
        <v>150</v>
      </c>
      <c r="O80" s="136">
        <v>50.0</v>
      </c>
      <c r="P80" s="136">
        <v>50.0</v>
      </c>
      <c r="Q80" s="136">
        <v>50.0</v>
      </c>
      <c r="R80" s="141">
        <f t="shared" si="105"/>
        <v>150</v>
      </c>
      <c r="S80" s="142">
        <f t="shared" si="106"/>
        <v>675</v>
      </c>
    </row>
    <row r="81" ht="21.75" customHeight="1">
      <c r="B81" s="135" t="s">
        <v>186</v>
      </c>
      <c r="C81" s="136">
        <v>100.0</v>
      </c>
      <c r="D81" s="136">
        <v>90.0</v>
      </c>
      <c r="E81" s="136">
        <v>90.0</v>
      </c>
      <c r="F81" s="137">
        <f t="shared" si="102"/>
        <v>280</v>
      </c>
      <c r="G81" s="136">
        <v>85.0</v>
      </c>
      <c r="H81" s="136">
        <v>95.0</v>
      </c>
      <c r="I81" s="136">
        <v>100.0</v>
      </c>
      <c r="J81" s="139">
        <f t="shared" si="103"/>
        <v>280</v>
      </c>
      <c r="K81" s="136">
        <v>85.0</v>
      </c>
      <c r="L81" s="136">
        <v>95.0</v>
      </c>
      <c r="M81" s="136">
        <v>100.0</v>
      </c>
      <c r="N81" s="140">
        <f t="shared" si="104"/>
        <v>280</v>
      </c>
      <c r="O81" s="136">
        <v>85.0</v>
      </c>
      <c r="P81" s="136">
        <v>95.0</v>
      </c>
      <c r="Q81" s="136">
        <v>100.0</v>
      </c>
      <c r="R81" s="141">
        <f t="shared" si="105"/>
        <v>280</v>
      </c>
      <c r="S81" s="142">
        <f t="shared" si="106"/>
        <v>1120</v>
      </c>
    </row>
    <row r="82" ht="21.75" customHeight="1">
      <c r="B82" s="135" t="s">
        <v>187</v>
      </c>
      <c r="C82" s="136">
        <v>100.0</v>
      </c>
      <c r="D82" s="136">
        <v>110.0</v>
      </c>
      <c r="E82" s="136">
        <v>98.0</v>
      </c>
      <c r="F82" s="137">
        <f t="shared" si="102"/>
        <v>308</v>
      </c>
      <c r="G82" s="136">
        <v>89.0</v>
      </c>
      <c r="H82" s="136">
        <v>123.0</v>
      </c>
      <c r="I82" s="136">
        <v>112.0</v>
      </c>
      <c r="J82" s="139">
        <f t="shared" si="103"/>
        <v>324</v>
      </c>
      <c r="K82" s="136">
        <v>89.0</v>
      </c>
      <c r="L82" s="136">
        <v>123.0</v>
      </c>
      <c r="M82" s="136">
        <v>112.0</v>
      </c>
      <c r="N82" s="140">
        <f t="shared" si="104"/>
        <v>324</v>
      </c>
      <c r="O82" s="136">
        <v>89.0</v>
      </c>
      <c r="P82" s="136">
        <v>123.0</v>
      </c>
      <c r="Q82" s="136">
        <v>112.0</v>
      </c>
      <c r="R82" s="141">
        <f t="shared" si="105"/>
        <v>324</v>
      </c>
      <c r="S82" s="142">
        <f t="shared" si="106"/>
        <v>1280</v>
      </c>
    </row>
    <row r="83" ht="21.75" customHeight="1">
      <c r="B83" s="135" t="s">
        <v>188</v>
      </c>
      <c r="C83" s="136">
        <v>0.0</v>
      </c>
      <c r="D83" s="136">
        <v>0.0</v>
      </c>
      <c r="E83" s="136">
        <v>0.0</v>
      </c>
      <c r="F83" s="137">
        <f t="shared" si="102"/>
        <v>0</v>
      </c>
      <c r="G83" s="136">
        <v>0.0</v>
      </c>
      <c r="H83" s="136">
        <v>0.0</v>
      </c>
      <c r="I83" s="136">
        <v>0.0</v>
      </c>
      <c r="J83" s="139">
        <f t="shared" si="103"/>
        <v>0</v>
      </c>
      <c r="K83" s="136">
        <v>0.0</v>
      </c>
      <c r="L83" s="136">
        <v>0.0</v>
      </c>
      <c r="M83" s="136">
        <v>0.0</v>
      </c>
      <c r="N83" s="140">
        <f t="shared" si="104"/>
        <v>0</v>
      </c>
      <c r="O83" s="136">
        <v>0.0</v>
      </c>
      <c r="P83" s="136">
        <v>0.0</v>
      </c>
      <c r="Q83" s="136">
        <v>0.0</v>
      </c>
      <c r="R83" s="141">
        <f t="shared" si="105"/>
        <v>0</v>
      </c>
      <c r="S83" s="142">
        <f t="shared" si="106"/>
        <v>0</v>
      </c>
    </row>
    <row r="84" ht="21.75" customHeight="1">
      <c r="B84" s="135" t="s">
        <v>189</v>
      </c>
      <c r="C84" s="136">
        <v>0.0</v>
      </c>
      <c r="D84" s="136">
        <v>0.0</v>
      </c>
      <c r="E84" s="136">
        <v>0.0</v>
      </c>
      <c r="F84" s="137">
        <f t="shared" si="102"/>
        <v>0</v>
      </c>
      <c r="G84" s="136">
        <v>0.0</v>
      </c>
      <c r="H84" s="136">
        <v>0.0</v>
      </c>
      <c r="I84" s="136">
        <v>0.0</v>
      </c>
      <c r="J84" s="139">
        <f t="shared" si="103"/>
        <v>0</v>
      </c>
      <c r="K84" s="136">
        <v>0.0</v>
      </c>
      <c r="L84" s="136">
        <v>0.0</v>
      </c>
      <c r="M84" s="136">
        <v>0.0</v>
      </c>
      <c r="N84" s="140">
        <f t="shared" si="104"/>
        <v>0</v>
      </c>
      <c r="O84" s="136">
        <v>0.0</v>
      </c>
      <c r="P84" s="136">
        <v>0.0</v>
      </c>
      <c r="Q84" s="136">
        <v>0.0</v>
      </c>
      <c r="R84" s="141">
        <f t="shared" si="105"/>
        <v>0</v>
      </c>
      <c r="S84" s="142">
        <f t="shared" si="106"/>
        <v>0</v>
      </c>
    </row>
    <row r="85" ht="21.75" customHeight="1">
      <c r="B85" s="135" t="s">
        <v>190</v>
      </c>
      <c r="C85" s="136">
        <v>0.0</v>
      </c>
      <c r="D85" s="136">
        <v>0.0</v>
      </c>
      <c r="E85" s="136">
        <v>0.0</v>
      </c>
      <c r="F85" s="137">
        <f t="shared" si="102"/>
        <v>0</v>
      </c>
      <c r="G85" s="136">
        <v>0.0</v>
      </c>
      <c r="H85" s="136">
        <v>0.0</v>
      </c>
      <c r="I85" s="136">
        <v>0.0</v>
      </c>
      <c r="J85" s="139">
        <f t="shared" si="103"/>
        <v>0</v>
      </c>
      <c r="K85" s="136">
        <v>0.0</v>
      </c>
      <c r="L85" s="136">
        <v>0.0</v>
      </c>
      <c r="M85" s="136">
        <v>0.0</v>
      </c>
      <c r="N85" s="140">
        <f t="shared" si="104"/>
        <v>0</v>
      </c>
      <c r="O85" s="136">
        <v>0.0</v>
      </c>
      <c r="P85" s="136">
        <v>0.0</v>
      </c>
      <c r="Q85" s="136">
        <v>0.0</v>
      </c>
      <c r="R85" s="141">
        <f t="shared" si="105"/>
        <v>0</v>
      </c>
      <c r="S85" s="142">
        <f t="shared" si="106"/>
        <v>0</v>
      </c>
    </row>
    <row r="86" ht="21.75" customHeight="1">
      <c r="B86" s="135" t="s">
        <v>191</v>
      </c>
      <c r="C86" s="136">
        <v>0.0</v>
      </c>
      <c r="D86" s="136">
        <v>0.0</v>
      </c>
      <c r="E86" s="136">
        <v>0.0</v>
      </c>
      <c r="F86" s="137">
        <f t="shared" si="102"/>
        <v>0</v>
      </c>
      <c r="G86" s="136">
        <v>0.0</v>
      </c>
      <c r="H86" s="136">
        <v>0.0</v>
      </c>
      <c r="I86" s="136">
        <v>0.0</v>
      </c>
      <c r="J86" s="139">
        <f t="shared" si="103"/>
        <v>0</v>
      </c>
      <c r="K86" s="136">
        <v>0.0</v>
      </c>
      <c r="L86" s="136">
        <v>0.0</v>
      </c>
      <c r="M86" s="136">
        <v>0.0</v>
      </c>
      <c r="N86" s="140">
        <f t="shared" si="104"/>
        <v>0</v>
      </c>
      <c r="O86" s="136">
        <v>0.0</v>
      </c>
      <c r="P86" s="136">
        <v>0.0</v>
      </c>
      <c r="Q86" s="136">
        <v>0.0</v>
      </c>
      <c r="R86" s="141">
        <f t="shared" si="105"/>
        <v>0</v>
      </c>
      <c r="S86" s="142">
        <f t="shared" si="106"/>
        <v>0</v>
      </c>
    </row>
    <row r="87" ht="21.75" customHeight="1">
      <c r="B87" s="135" t="s">
        <v>192</v>
      </c>
      <c r="C87" s="136">
        <v>0.0</v>
      </c>
      <c r="D87" s="136">
        <v>0.0</v>
      </c>
      <c r="E87" s="136">
        <v>0.0</v>
      </c>
      <c r="F87" s="137">
        <f t="shared" si="102"/>
        <v>0</v>
      </c>
      <c r="G87" s="136">
        <v>0.0</v>
      </c>
      <c r="H87" s="136">
        <v>0.0</v>
      </c>
      <c r="I87" s="136">
        <v>0.0</v>
      </c>
      <c r="J87" s="139">
        <f t="shared" si="103"/>
        <v>0</v>
      </c>
      <c r="K87" s="136">
        <v>0.0</v>
      </c>
      <c r="L87" s="136">
        <v>0.0</v>
      </c>
      <c r="M87" s="136">
        <v>0.0</v>
      </c>
      <c r="N87" s="140">
        <f t="shared" si="104"/>
        <v>0</v>
      </c>
      <c r="O87" s="136">
        <v>0.0</v>
      </c>
      <c r="P87" s="136">
        <v>0.0</v>
      </c>
      <c r="Q87" s="136">
        <v>0.0</v>
      </c>
      <c r="R87" s="141">
        <f t="shared" si="105"/>
        <v>0</v>
      </c>
      <c r="S87" s="142">
        <f t="shared" si="106"/>
        <v>0</v>
      </c>
    </row>
    <row r="88" ht="21.75" customHeight="1">
      <c r="B88" s="135" t="s">
        <v>76</v>
      </c>
      <c r="C88" s="136">
        <v>0.0</v>
      </c>
      <c r="D88" s="136">
        <v>0.0</v>
      </c>
      <c r="E88" s="136">
        <v>0.0</v>
      </c>
      <c r="F88" s="137">
        <f t="shared" si="102"/>
        <v>0</v>
      </c>
      <c r="G88" s="136">
        <v>0.0</v>
      </c>
      <c r="H88" s="136">
        <v>0.0</v>
      </c>
      <c r="I88" s="136">
        <v>0.0</v>
      </c>
      <c r="J88" s="139">
        <f t="shared" si="103"/>
        <v>0</v>
      </c>
      <c r="K88" s="136">
        <v>0.0</v>
      </c>
      <c r="L88" s="136">
        <v>0.0</v>
      </c>
      <c r="M88" s="136">
        <v>0.0</v>
      </c>
      <c r="N88" s="140">
        <f t="shared" si="104"/>
        <v>0</v>
      </c>
      <c r="O88" s="136">
        <v>0.0</v>
      </c>
      <c r="P88" s="136">
        <v>0.0</v>
      </c>
      <c r="Q88" s="136">
        <v>0.0</v>
      </c>
      <c r="R88" s="141">
        <f t="shared" si="105"/>
        <v>0</v>
      </c>
      <c r="S88" s="142">
        <f t="shared" si="106"/>
        <v>0</v>
      </c>
    </row>
    <row r="89" ht="21.75" customHeight="1">
      <c r="B89" s="135" t="s">
        <v>76</v>
      </c>
      <c r="C89" s="136">
        <v>0.0</v>
      </c>
      <c r="D89" s="136">
        <v>0.0</v>
      </c>
      <c r="E89" s="136">
        <v>0.0</v>
      </c>
      <c r="F89" s="137">
        <f t="shared" si="102"/>
        <v>0</v>
      </c>
      <c r="G89" s="136">
        <v>0.0</v>
      </c>
      <c r="H89" s="136">
        <v>0.0</v>
      </c>
      <c r="I89" s="136">
        <v>0.0</v>
      </c>
      <c r="J89" s="139">
        <f t="shared" si="103"/>
        <v>0</v>
      </c>
      <c r="K89" s="136">
        <v>0.0</v>
      </c>
      <c r="L89" s="136">
        <v>0.0</v>
      </c>
      <c r="M89" s="136">
        <v>0.0</v>
      </c>
      <c r="N89" s="140">
        <f t="shared" si="104"/>
        <v>0</v>
      </c>
      <c r="O89" s="136">
        <v>0.0</v>
      </c>
      <c r="P89" s="136">
        <v>0.0</v>
      </c>
      <c r="Q89" s="136">
        <v>0.0</v>
      </c>
      <c r="R89" s="141">
        <f t="shared" si="105"/>
        <v>0</v>
      </c>
      <c r="S89" s="142">
        <f t="shared" si="106"/>
        <v>0</v>
      </c>
    </row>
    <row r="90" ht="21.75" customHeight="1">
      <c r="B90" s="135" t="s">
        <v>76</v>
      </c>
      <c r="C90" s="136">
        <v>0.0</v>
      </c>
      <c r="D90" s="136">
        <v>0.0</v>
      </c>
      <c r="E90" s="136">
        <v>0.0</v>
      </c>
      <c r="F90" s="137">
        <f t="shared" si="102"/>
        <v>0</v>
      </c>
      <c r="G90" s="136">
        <v>0.0</v>
      </c>
      <c r="H90" s="136">
        <v>0.0</v>
      </c>
      <c r="I90" s="136">
        <v>0.0</v>
      </c>
      <c r="J90" s="139">
        <f t="shared" si="103"/>
        <v>0</v>
      </c>
      <c r="K90" s="136">
        <v>0.0</v>
      </c>
      <c r="L90" s="136">
        <v>0.0</v>
      </c>
      <c r="M90" s="136">
        <v>0.0</v>
      </c>
      <c r="N90" s="140">
        <f t="shared" si="104"/>
        <v>0</v>
      </c>
      <c r="O90" s="136">
        <v>0.0</v>
      </c>
      <c r="P90" s="136">
        <v>0.0</v>
      </c>
      <c r="Q90" s="136">
        <v>0.0</v>
      </c>
      <c r="R90" s="141">
        <f t="shared" si="105"/>
        <v>0</v>
      </c>
      <c r="S90" s="142">
        <f t="shared" si="106"/>
        <v>0</v>
      </c>
    </row>
    <row r="91" ht="21.75" customHeight="1">
      <c r="B91" s="143" t="s">
        <v>193</v>
      </c>
      <c r="C91" s="180">
        <f t="shared" ref="C91:E91" si="107">SUM(C77:C90)</f>
        <v>1715</v>
      </c>
      <c r="D91" s="180">
        <f t="shared" si="107"/>
        <v>1715</v>
      </c>
      <c r="E91" s="180">
        <f t="shared" si="107"/>
        <v>1703</v>
      </c>
      <c r="F91" s="137">
        <f t="shared" si="102"/>
        <v>5133</v>
      </c>
      <c r="G91" s="181">
        <f t="shared" ref="G91:I91" si="108">SUM(G77:G90)</f>
        <v>1664</v>
      </c>
      <c r="H91" s="182">
        <f t="shared" si="108"/>
        <v>1708</v>
      </c>
      <c r="I91" s="182">
        <f t="shared" si="108"/>
        <v>1702</v>
      </c>
      <c r="J91" s="139">
        <f t="shared" si="103"/>
        <v>5074</v>
      </c>
      <c r="K91" s="183">
        <f t="shared" ref="K91:M91" si="109">SUM(K77:K90)</f>
        <v>1664</v>
      </c>
      <c r="L91" s="184">
        <f t="shared" si="109"/>
        <v>1708</v>
      </c>
      <c r="M91" s="184">
        <f t="shared" si="109"/>
        <v>1702</v>
      </c>
      <c r="N91" s="140">
        <f t="shared" si="104"/>
        <v>5074</v>
      </c>
      <c r="O91" s="185">
        <f t="shared" ref="O91:Q91" si="110">SUM(O77:O90)</f>
        <v>1664</v>
      </c>
      <c r="P91" s="186">
        <f t="shared" si="110"/>
        <v>1708</v>
      </c>
      <c r="Q91" s="186">
        <f t="shared" si="110"/>
        <v>1702</v>
      </c>
      <c r="R91" s="141">
        <f t="shared" si="105"/>
        <v>5074</v>
      </c>
      <c r="S91" s="151">
        <f t="shared" si="106"/>
        <v>20355</v>
      </c>
    </row>
    <row r="92" ht="21.75" customHeight="1">
      <c r="B92" s="131" t="s">
        <v>194</v>
      </c>
      <c r="C92" s="132"/>
      <c r="D92" s="132"/>
      <c r="E92" s="132"/>
      <c r="F92" s="133"/>
      <c r="G92" s="134"/>
      <c r="H92" s="132"/>
      <c r="I92" s="132"/>
      <c r="J92" s="133"/>
      <c r="K92" s="134"/>
      <c r="L92" s="132"/>
      <c r="M92" s="132"/>
      <c r="N92" s="133"/>
      <c r="O92" s="134"/>
      <c r="P92" s="132"/>
      <c r="Q92" s="132"/>
      <c r="R92" s="133"/>
      <c r="S92" s="134"/>
    </row>
    <row r="93" ht="21.75" customHeight="1">
      <c r="B93" s="135" t="s">
        <v>195</v>
      </c>
      <c r="C93" s="136">
        <v>90.0</v>
      </c>
      <c r="D93" s="136">
        <v>90.0</v>
      </c>
      <c r="E93" s="136">
        <v>90.0</v>
      </c>
      <c r="F93" s="137">
        <f t="shared" ref="F93:F101" si="111">SUM(C93:E93)</f>
        <v>270</v>
      </c>
      <c r="G93" s="136">
        <v>90.0</v>
      </c>
      <c r="H93" s="136">
        <v>90.0</v>
      </c>
      <c r="I93" s="136">
        <v>90.0</v>
      </c>
      <c r="J93" s="139">
        <f t="shared" ref="J93:J101" si="112">SUM(G93:I93)</f>
        <v>270</v>
      </c>
      <c r="K93" s="136">
        <v>0.0</v>
      </c>
      <c r="L93" s="136">
        <v>0.0</v>
      </c>
      <c r="M93" s="136">
        <v>0.0</v>
      </c>
      <c r="N93" s="140">
        <f t="shared" ref="N93:N101" si="113">SUM(K93:M93)</f>
        <v>0</v>
      </c>
      <c r="O93" s="136">
        <v>0.0</v>
      </c>
      <c r="P93" s="136">
        <v>0.0</v>
      </c>
      <c r="Q93" s="136">
        <v>0.0</v>
      </c>
      <c r="R93" s="141">
        <f t="shared" ref="R93:R101" si="114">SUM(O93:Q93)</f>
        <v>0</v>
      </c>
      <c r="S93" s="142">
        <f t="shared" ref="S93:S101" si="115">SUM(F93,J93,N93,R93)</f>
        <v>540</v>
      </c>
    </row>
    <row r="94" ht="21.75" customHeight="1">
      <c r="B94" s="135" t="s">
        <v>196</v>
      </c>
      <c r="C94" s="136">
        <v>125.0</v>
      </c>
      <c r="D94" s="136">
        <v>0.0</v>
      </c>
      <c r="E94" s="136">
        <v>0.0</v>
      </c>
      <c r="F94" s="137">
        <f t="shared" si="111"/>
        <v>125</v>
      </c>
      <c r="G94" s="136">
        <v>0.0</v>
      </c>
      <c r="H94" s="136">
        <v>0.0</v>
      </c>
      <c r="I94" s="136">
        <v>0.0</v>
      </c>
      <c r="J94" s="139">
        <f t="shared" si="112"/>
        <v>0</v>
      </c>
      <c r="K94" s="136">
        <v>0.0</v>
      </c>
      <c r="L94" s="136">
        <v>0.0</v>
      </c>
      <c r="M94" s="136">
        <v>0.0</v>
      </c>
      <c r="N94" s="140">
        <f t="shared" si="113"/>
        <v>0</v>
      </c>
      <c r="O94" s="136">
        <v>0.0</v>
      </c>
      <c r="P94" s="136">
        <v>0.0</v>
      </c>
      <c r="Q94" s="136">
        <v>0.0</v>
      </c>
      <c r="R94" s="141">
        <f t="shared" si="114"/>
        <v>0</v>
      </c>
      <c r="S94" s="142">
        <f t="shared" si="115"/>
        <v>125</v>
      </c>
    </row>
    <row r="95" ht="21.75" customHeight="1">
      <c r="B95" s="135" t="s">
        <v>197</v>
      </c>
      <c r="C95" s="136">
        <v>0.0</v>
      </c>
      <c r="D95" s="136">
        <v>0.0</v>
      </c>
      <c r="E95" s="136">
        <v>0.0</v>
      </c>
      <c r="F95" s="137">
        <f t="shared" si="111"/>
        <v>0</v>
      </c>
      <c r="G95" s="136">
        <v>0.0</v>
      </c>
      <c r="H95" s="136">
        <v>0.0</v>
      </c>
      <c r="I95" s="136">
        <v>0.0</v>
      </c>
      <c r="J95" s="139">
        <f t="shared" si="112"/>
        <v>0</v>
      </c>
      <c r="K95" s="136">
        <v>0.0</v>
      </c>
      <c r="L95" s="136">
        <v>0.0</v>
      </c>
      <c r="M95" s="136">
        <v>0.0</v>
      </c>
      <c r="N95" s="140">
        <f t="shared" si="113"/>
        <v>0</v>
      </c>
      <c r="O95" s="136">
        <v>0.0</v>
      </c>
      <c r="P95" s="136">
        <v>0.0</v>
      </c>
      <c r="Q95" s="136">
        <v>0.0</v>
      </c>
      <c r="R95" s="141">
        <f t="shared" si="114"/>
        <v>0</v>
      </c>
      <c r="S95" s="142">
        <f t="shared" si="115"/>
        <v>0</v>
      </c>
    </row>
    <row r="96" ht="21.75" customHeight="1">
      <c r="B96" s="135" t="s">
        <v>75</v>
      </c>
      <c r="C96" s="136">
        <v>150.0</v>
      </c>
      <c r="D96" s="136">
        <v>150.0</v>
      </c>
      <c r="E96" s="136">
        <v>150.0</v>
      </c>
      <c r="F96" s="137">
        <f t="shared" si="111"/>
        <v>450</v>
      </c>
      <c r="G96" s="136">
        <v>150.0</v>
      </c>
      <c r="H96" s="136">
        <v>150.0</v>
      </c>
      <c r="I96" s="136">
        <v>150.0</v>
      </c>
      <c r="J96" s="139">
        <f t="shared" si="112"/>
        <v>450</v>
      </c>
      <c r="K96" s="136">
        <v>0.0</v>
      </c>
      <c r="L96" s="136">
        <v>0.0</v>
      </c>
      <c r="M96" s="136">
        <v>0.0</v>
      </c>
      <c r="N96" s="140">
        <f t="shared" si="113"/>
        <v>0</v>
      </c>
      <c r="O96" s="136">
        <v>0.0</v>
      </c>
      <c r="P96" s="136">
        <v>0.0</v>
      </c>
      <c r="Q96" s="136">
        <v>0.0</v>
      </c>
      <c r="R96" s="141">
        <f t="shared" si="114"/>
        <v>0</v>
      </c>
      <c r="S96" s="142">
        <f t="shared" si="115"/>
        <v>900</v>
      </c>
    </row>
    <row r="97" ht="21.75" customHeight="1">
      <c r="B97" s="135" t="s">
        <v>198</v>
      </c>
      <c r="C97" s="136">
        <v>20.0</v>
      </c>
      <c r="D97" s="136">
        <v>0.0</v>
      </c>
      <c r="E97" s="136">
        <v>0.0</v>
      </c>
      <c r="F97" s="137">
        <f t="shared" si="111"/>
        <v>20</v>
      </c>
      <c r="G97" s="136">
        <v>20.0</v>
      </c>
      <c r="H97" s="136">
        <v>0.0</v>
      </c>
      <c r="I97" s="136">
        <v>0.0</v>
      </c>
      <c r="J97" s="139">
        <f t="shared" si="112"/>
        <v>20</v>
      </c>
      <c r="K97" s="136">
        <v>0.0</v>
      </c>
      <c r="L97" s="136">
        <v>0.0</v>
      </c>
      <c r="M97" s="136">
        <v>0.0</v>
      </c>
      <c r="N97" s="140">
        <f t="shared" si="113"/>
        <v>0</v>
      </c>
      <c r="O97" s="136">
        <v>0.0</v>
      </c>
      <c r="P97" s="136">
        <v>0.0</v>
      </c>
      <c r="Q97" s="136">
        <v>0.0</v>
      </c>
      <c r="R97" s="141">
        <f t="shared" si="114"/>
        <v>0</v>
      </c>
      <c r="S97" s="142">
        <f t="shared" si="115"/>
        <v>40</v>
      </c>
    </row>
    <row r="98" ht="21.75" customHeight="1">
      <c r="B98" s="135" t="s">
        <v>76</v>
      </c>
      <c r="C98" s="136">
        <v>0.0</v>
      </c>
      <c r="D98" s="136">
        <v>0.0</v>
      </c>
      <c r="E98" s="136">
        <v>0.0</v>
      </c>
      <c r="F98" s="137">
        <f t="shared" si="111"/>
        <v>0</v>
      </c>
      <c r="G98" s="136">
        <v>0.0</v>
      </c>
      <c r="H98" s="136">
        <v>0.0</v>
      </c>
      <c r="I98" s="136">
        <v>0.0</v>
      </c>
      <c r="J98" s="139">
        <f t="shared" si="112"/>
        <v>0</v>
      </c>
      <c r="K98" s="136">
        <v>0.0</v>
      </c>
      <c r="L98" s="136">
        <v>0.0</v>
      </c>
      <c r="M98" s="136">
        <v>0.0</v>
      </c>
      <c r="N98" s="140">
        <f t="shared" si="113"/>
        <v>0</v>
      </c>
      <c r="O98" s="136">
        <v>0.0</v>
      </c>
      <c r="P98" s="136">
        <v>0.0</v>
      </c>
      <c r="Q98" s="136">
        <v>0.0</v>
      </c>
      <c r="R98" s="141">
        <f t="shared" si="114"/>
        <v>0</v>
      </c>
      <c r="S98" s="142">
        <f t="shared" si="115"/>
        <v>0</v>
      </c>
    </row>
    <row r="99" ht="21.75" customHeight="1">
      <c r="B99" s="135" t="s">
        <v>76</v>
      </c>
      <c r="C99" s="136">
        <v>0.0</v>
      </c>
      <c r="D99" s="136">
        <v>0.0</v>
      </c>
      <c r="E99" s="136">
        <v>0.0</v>
      </c>
      <c r="F99" s="137">
        <f t="shared" si="111"/>
        <v>0</v>
      </c>
      <c r="G99" s="136">
        <v>0.0</v>
      </c>
      <c r="H99" s="136">
        <v>0.0</v>
      </c>
      <c r="I99" s="136">
        <v>0.0</v>
      </c>
      <c r="J99" s="139">
        <f t="shared" si="112"/>
        <v>0</v>
      </c>
      <c r="K99" s="136">
        <v>0.0</v>
      </c>
      <c r="L99" s="136">
        <v>0.0</v>
      </c>
      <c r="M99" s="136">
        <v>0.0</v>
      </c>
      <c r="N99" s="140">
        <f t="shared" si="113"/>
        <v>0</v>
      </c>
      <c r="O99" s="136">
        <v>0.0</v>
      </c>
      <c r="P99" s="136">
        <v>0.0</v>
      </c>
      <c r="Q99" s="136">
        <v>0.0</v>
      </c>
      <c r="R99" s="141">
        <f t="shared" si="114"/>
        <v>0</v>
      </c>
      <c r="S99" s="142">
        <f t="shared" si="115"/>
        <v>0</v>
      </c>
    </row>
    <row r="100" ht="21.75" customHeight="1">
      <c r="B100" s="135" t="s">
        <v>76</v>
      </c>
      <c r="C100" s="136">
        <v>0.0</v>
      </c>
      <c r="D100" s="136">
        <v>0.0</v>
      </c>
      <c r="E100" s="136">
        <v>0.0</v>
      </c>
      <c r="F100" s="137">
        <f t="shared" si="111"/>
        <v>0</v>
      </c>
      <c r="G100" s="136">
        <v>0.0</v>
      </c>
      <c r="H100" s="136">
        <v>0.0</v>
      </c>
      <c r="I100" s="136">
        <v>0.0</v>
      </c>
      <c r="J100" s="139">
        <f t="shared" si="112"/>
        <v>0</v>
      </c>
      <c r="K100" s="136">
        <v>0.0</v>
      </c>
      <c r="L100" s="136">
        <v>0.0</v>
      </c>
      <c r="M100" s="136">
        <v>0.0</v>
      </c>
      <c r="N100" s="140">
        <f t="shared" si="113"/>
        <v>0</v>
      </c>
      <c r="O100" s="136">
        <v>0.0</v>
      </c>
      <c r="P100" s="136">
        <v>0.0</v>
      </c>
      <c r="Q100" s="136">
        <v>0.0</v>
      </c>
      <c r="R100" s="141">
        <f t="shared" si="114"/>
        <v>0</v>
      </c>
      <c r="S100" s="142">
        <f t="shared" si="115"/>
        <v>0</v>
      </c>
    </row>
    <row r="101" ht="21.75" customHeight="1">
      <c r="B101" s="143" t="s">
        <v>199</v>
      </c>
      <c r="C101" s="180">
        <f t="shared" ref="C101:E101" si="116">SUM(C93:C100)</f>
        <v>385</v>
      </c>
      <c r="D101" s="180">
        <f t="shared" si="116"/>
        <v>240</v>
      </c>
      <c r="E101" s="180">
        <f t="shared" si="116"/>
        <v>240</v>
      </c>
      <c r="F101" s="137">
        <f t="shared" si="111"/>
        <v>865</v>
      </c>
      <c r="G101" s="181">
        <f t="shared" ref="G101:I101" si="117">SUM(G93:G100)</f>
        <v>260</v>
      </c>
      <c r="H101" s="182">
        <f t="shared" si="117"/>
        <v>240</v>
      </c>
      <c r="I101" s="182">
        <f t="shared" si="117"/>
        <v>240</v>
      </c>
      <c r="J101" s="139">
        <f t="shared" si="112"/>
        <v>740</v>
      </c>
      <c r="K101" s="183">
        <f t="shared" ref="K101:M101" si="118">SUM(K93:K100)</f>
        <v>0</v>
      </c>
      <c r="L101" s="184">
        <f t="shared" si="118"/>
        <v>0</v>
      </c>
      <c r="M101" s="184">
        <f t="shared" si="118"/>
        <v>0</v>
      </c>
      <c r="N101" s="140">
        <f t="shared" si="113"/>
        <v>0</v>
      </c>
      <c r="O101" s="185">
        <f t="shared" ref="O101:Q101" si="119">SUM(O93:O100)</f>
        <v>0</v>
      </c>
      <c r="P101" s="186">
        <f t="shared" si="119"/>
        <v>0</v>
      </c>
      <c r="Q101" s="186">
        <f t="shared" si="119"/>
        <v>0</v>
      </c>
      <c r="R101" s="141">
        <f t="shared" si="114"/>
        <v>0</v>
      </c>
      <c r="S101" s="151">
        <f t="shared" si="115"/>
        <v>1605</v>
      </c>
    </row>
    <row r="102" ht="21.75" customHeight="1">
      <c r="B102" s="131" t="s">
        <v>200</v>
      </c>
      <c r="C102" s="132"/>
      <c r="D102" s="132"/>
      <c r="E102" s="132"/>
      <c r="F102" s="133"/>
      <c r="G102" s="134"/>
      <c r="H102" s="132"/>
      <c r="I102" s="132"/>
      <c r="J102" s="133"/>
      <c r="K102" s="134"/>
      <c r="L102" s="132"/>
      <c r="M102" s="132"/>
      <c r="N102" s="133"/>
      <c r="O102" s="134"/>
      <c r="P102" s="132"/>
      <c r="Q102" s="132"/>
      <c r="R102" s="133"/>
      <c r="S102" s="134"/>
    </row>
    <row r="103" ht="21.75" customHeight="1">
      <c r="B103" s="135" t="s">
        <v>76</v>
      </c>
      <c r="C103" s="136">
        <v>0.0</v>
      </c>
      <c r="D103" s="136">
        <v>0.0</v>
      </c>
      <c r="E103" s="136">
        <v>0.0</v>
      </c>
      <c r="F103" s="137">
        <f t="shared" ref="F103:F112" si="120">SUM(C103:E103)</f>
        <v>0</v>
      </c>
      <c r="G103" s="136">
        <v>0.0</v>
      </c>
      <c r="H103" s="136">
        <v>0.0</v>
      </c>
      <c r="I103" s="136">
        <v>0.0</v>
      </c>
      <c r="J103" s="139">
        <f t="shared" ref="J103:J112" si="121">SUM(G103:I103)</f>
        <v>0</v>
      </c>
      <c r="K103" s="136">
        <v>0.0</v>
      </c>
      <c r="L103" s="136">
        <v>0.0</v>
      </c>
      <c r="M103" s="136">
        <v>0.0</v>
      </c>
      <c r="N103" s="140">
        <f t="shared" ref="N103:N112" si="122">SUM(K103:M103)</f>
        <v>0</v>
      </c>
      <c r="O103" s="136">
        <v>0.0</v>
      </c>
      <c r="P103" s="136">
        <v>0.0</v>
      </c>
      <c r="Q103" s="136">
        <v>0.0</v>
      </c>
      <c r="R103" s="141">
        <f t="shared" ref="R103:R112" si="123">SUM(O103:Q103)</f>
        <v>0</v>
      </c>
      <c r="S103" s="142">
        <f t="shared" ref="S103:S112" si="124">SUM(F103,J103,N103,R103)</f>
        <v>0</v>
      </c>
    </row>
    <row r="104" ht="21.75" customHeight="1">
      <c r="B104" s="135" t="s">
        <v>76</v>
      </c>
      <c r="C104" s="136">
        <v>0.0</v>
      </c>
      <c r="D104" s="136">
        <v>0.0</v>
      </c>
      <c r="E104" s="136">
        <v>0.0</v>
      </c>
      <c r="F104" s="137">
        <f t="shared" si="120"/>
        <v>0</v>
      </c>
      <c r="G104" s="136">
        <v>0.0</v>
      </c>
      <c r="H104" s="136">
        <v>0.0</v>
      </c>
      <c r="I104" s="136">
        <v>0.0</v>
      </c>
      <c r="J104" s="139">
        <f t="shared" si="121"/>
        <v>0</v>
      </c>
      <c r="K104" s="136">
        <v>0.0</v>
      </c>
      <c r="L104" s="136">
        <v>0.0</v>
      </c>
      <c r="M104" s="136">
        <v>0.0</v>
      </c>
      <c r="N104" s="140">
        <f t="shared" si="122"/>
        <v>0</v>
      </c>
      <c r="O104" s="136">
        <v>0.0</v>
      </c>
      <c r="P104" s="136">
        <v>0.0</v>
      </c>
      <c r="Q104" s="136">
        <v>0.0</v>
      </c>
      <c r="R104" s="141">
        <f t="shared" si="123"/>
        <v>0</v>
      </c>
      <c r="S104" s="142">
        <f t="shared" si="124"/>
        <v>0</v>
      </c>
    </row>
    <row r="105" ht="21.75" customHeight="1">
      <c r="B105" s="135" t="s">
        <v>76</v>
      </c>
      <c r="C105" s="136">
        <v>0.0</v>
      </c>
      <c r="D105" s="136">
        <v>0.0</v>
      </c>
      <c r="E105" s="136">
        <v>0.0</v>
      </c>
      <c r="F105" s="137">
        <f t="shared" si="120"/>
        <v>0</v>
      </c>
      <c r="G105" s="136">
        <v>0.0</v>
      </c>
      <c r="H105" s="136">
        <v>0.0</v>
      </c>
      <c r="I105" s="136">
        <v>0.0</v>
      </c>
      <c r="J105" s="139">
        <f t="shared" si="121"/>
        <v>0</v>
      </c>
      <c r="K105" s="136">
        <v>0.0</v>
      </c>
      <c r="L105" s="136">
        <v>0.0</v>
      </c>
      <c r="M105" s="136">
        <v>0.0</v>
      </c>
      <c r="N105" s="140">
        <f t="shared" si="122"/>
        <v>0</v>
      </c>
      <c r="O105" s="136">
        <v>0.0</v>
      </c>
      <c r="P105" s="136">
        <v>0.0</v>
      </c>
      <c r="Q105" s="136">
        <v>0.0</v>
      </c>
      <c r="R105" s="141">
        <f t="shared" si="123"/>
        <v>0</v>
      </c>
      <c r="S105" s="142">
        <f t="shared" si="124"/>
        <v>0</v>
      </c>
    </row>
    <row r="106" ht="21.75" customHeight="1">
      <c r="B106" s="135" t="s">
        <v>76</v>
      </c>
      <c r="C106" s="136">
        <v>0.0</v>
      </c>
      <c r="D106" s="136">
        <v>0.0</v>
      </c>
      <c r="E106" s="136">
        <v>0.0</v>
      </c>
      <c r="F106" s="137">
        <f t="shared" si="120"/>
        <v>0</v>
      </c>
      <c r="G106" s="136">
        <v>0.0</v>
      </c>
      <c r="H106" s="136">
        <v>0.0</v>
      </c>
      <c r="I106" s="136">
        <v>0.0</v>
      </c>
      <c r="J106" s="139">
        <f t="shared" si="121"/>
        <v>0</v>
      </c>
      <c r="K106" s="136">
        <v>0.0</v>
      </c>
      <c r="L106" s="136">
        <v>0.0</v>
      </c>
      <c r="M106" s="136">
        <v>0.0</v>
      </c>
      <c r="N106" s="140">
        <f t="shared" si="122"/>
        <v>0</v>
      </c>
      <c r="O106" s="136">
        <v>0.0</v>
      </c>
      <c r="P106" s="136">
        <v>0.0</v>
      </c>
      <c r="Q106" s="136">
        <v>0.0</v>
      </c>
      <c r="R106" s="141">
        <f t="shared" si="123"/>
        <v>0</v>
      </c>
      <c r="S106" s="142">
        <f t="shared" si="124"/>
        <v>0</v>
      </c>
    </row>
    <row r="107" ht="21.75" customHeight="1">
      <c r="B107" s="135" t="s">
        <v>76</v>
      </c>
      <c r="C107" s="136">
        <v>0.0</v>
      </c>
      <c r="D107" s="136">
        <v>0.0</v>
      </c>
      <c r="E107" s="136">
        <v>0.0</v>
      </c>
      <c r="F107" s="137">
        <f t="shared" si="120"/>
        <v>0</v>
      </c>
      <c r="G107" s="136">
        <v>0.0</v>
      </c>
      <c r="H107" s="136">
        <v>0.0</v>
      </c>
      <c r="I107" s="136">
        <v>0.0</v>
      </c>
      <c r="J107" s="139">
        <f t="shared" si="121"/>
        <v>0</v>
      </c>
      <c r="K107" s="136">
        <v>0.0</v>
      </c>
      <c r="L107" s="136">
        <v>0.0</v>
      </c>
      <c r="M107" s="136">
        <v>0.0</v>
      </c>
      <c r="N107" s="140">
        <f t="shared" si="122"/>
        <v>0</v>
      </c>
      <c r="O107" s="136">
        <v>0.0</v>
      </c>
      <c r="P107" s="136">
        <v>0.0</v>
      </c>
      <c r="Q107" s="136">
        <v>0.0</v>
      </c>
      <c r="R107" s="141">
        <f t="shared" si="123"/>
        <v>0</v>
      </c>
      <c r="S107" s="142">
        <f t="shared" si="124"/>
        <v>0</v>
      </c>
    </row>
    <row r="108" ht="21.75" customHeight="1">
      <c r="B108" s="135" t="s">
        <v>76</v>
      </c>
      <c r="C108" s="136">
        <v>0.0</v>
      </c>
      <c r="D108" s="136">
        <v>0.0</v>
      </c>
      <c r="E108" s="136">
        <v>0.0</v>
      </c>
      <c r="F108" s="137">
        <f t="shared" si="120"/>
        <v>0</v>
      </c>
      <c r="G108" s="136">
        <v>0.0</v>
      </c>
      <c r="H108" s="136">
        <v>0.0</v>
      </c>
      <c r="I108" s="136">
        <v>0.0</v>
      </c>
      <c r="J108" s="139">
        <f t="shared" si="121"/>
        <v>0</v>
      </c>
      <c r="K108" s="136">
        <v>0.0</v>
      </c>
      <c r="L108" s="136">
        <v>0.0</v>
      </c>
      <c r="M108" s="136">
        <v>0.0</v>
      </c>
      <c r="N108" s="140">
        <f t="shared" si="122"/>
        <v>0</v>
      </c>
      <c r="O108" s="136">
        <v>0.0</v>
      </c>
      <c r="P108" s="136">
        <v>0.0</v>
      </c>
      <c r="Q108" s="136">
        <v>0.0</v>
      </c>
      <c r="R108" s="141">
        <f t="shared" si="123"/>
        <v>0</v>
      </c>
      <c r="S108" s="142">
        <f t="shared" si="124"/>
        <v>0</v>
      </c>
    </row>
    <row r="109" ht="21.75" customHeight="1">
      <c r="B109" s="135" t="s">
        <v>76</v>
      </c>
      <c r="C109" s="136">
        <v>0.0</v>
      </c>
      <c r="D109" s="136">
        <v>0.0</v>
      </c>
      <c r="E109" s="136">
        <v>0.0</v>
      </c>
      <c r="F109" s="137">
        <f t="shared" si="120"/>
        <v>0</v>
      </c>
      <c r="G109" s="136">
        <v>0.0</v>
      </c>
      <c r="H109" s="136">
        <v>0.0</v>
      </c>
      <c r="I109" s="136">
        <v>0.0</v>
      </c>
      <c r="J109" s="139">
        <f t="shared" si="121"/>
        <v>0</v>
      </c>
      <c r="K109" s="136">
        <v>0.0</v>
      </c>
      <c r="L109" s="136">
        <v>0.0</v>
      </c>
      <c r="M109" s="136">
        <v>0.0</v>
      </c>
      <c r="N109" s="140">
        <f t="shared" si="122"/>
        <v>0</v>
      </c>
      <c r="O109" s="136">
        <v>0.0</v>
      </c>
      <c r="P109" s="136">
        <v>0.0</v>
      </c>
      <c r="Q109" s="136">
        <v>0.0</v>
      </c>
      <c r="R109" s="141">
        <f t="shared" si="123"/>
        <v>0</v>
      </c>
      <c r="S109" s="142">
        <f t="shared" si="124"/>
        <v>0</v>
      </c>
    </row>
    <row r="110" ht="21.75" customHeight="1">
      <c r="B110" s="135" t="s">
        <v>76</v>
      </c>
      <c r="C110" s="136">
        <v>0.0</v>
      </c>
      <c r="D110" s="136">
        <v>0.0</v>
      </c>
      <c r="E110" s="136">
        <v>0.0</v>
      </c>
      <c r="F110" s="137">
        <f t="shared" si="120"/>
        <v>0</v>
      </c>
      <c r="G110" s="136">
        <v>0.0</v>
      </c>
      <c r="H110" s="136">
        <v>0.0</v>
      </c>
      <c r="I110" s="136">
        <v>0.0</v>
      </c>
      <c r="J110" s="139">
        <f t="shared" si="121"/>
        <v>0</v>
      </c>
      <c r="K110" s="136">
        <v>0.0</v>
      </c>
      <c r="L110" s="136">
        <v>0.0</v>
      </c>
      <c r="M110" s="136">
        <v>0.0</v>
      </c>
      <c r="N110" s="140">
        <f t="shared" si="122"/>
        <v>0</v>
      </c>
      <c r="O110" s="136">
        <v>0.0</v>
      </c>
      <c r="P110" s="136">
        <v>0.0</v>
      </c>
      <c r="Q110" s="136">
        <v>0.0</v>
      </c>
      <c r="R110" s="141">
        <f t="shared" si="123"/>
        <v>0</v>
      </c>
      <c r="S110" s="142">
        <f t="shared" si="124"/>
        <v>0</v>
      </c>
    </row>
    <row r="111" ht="21.75" customHeight="1">
      <c r="B111" s="143" t="s">
        <v>201</v>
      </c>
      <c r="C111" s="180">
        <f t="shared" ref="C111:E111" si="125">SUM(C103:C110)</f>
        <v>0</v>
      </c>
      <c r="D111" s="180">
        <f t="shared" si="125"/>
        <v>0</v>
      </c>
      <c r="E111" s="180">
        <f t="shared" si="125"/>
        <v>0</v>
      </c>
      <c r="F111" s="137">
        <f t="shared" si="120"/>
        <v>0</v>
      </c>
      <c r="G111" s="181">
        <f t="shared" ref="G111:I111" si="126">SUM(G103:G110)</f>
        <v>0</v>
      </c>
      <c r="H111" s="182">
        <f t="shared" si="126"/>
        <v>0</v>
      </c>
      <c r="I111" s="182">
        <f t="shared" si="126"/>
        <v>0</v>
      </c>
      <c r="J111" s="139">
        <f t="shared" si="121"/>
        <v>0</v>
      </c>
      <c r="K111" s="183">
        <f t="shared" ref="K111:M111" si="127">SUM(K103:K110)</f>
        <v>0</v>
      </c>
      <c r="L111" s="184">
        <f t="shared" si="127"/>
        <v>0</v>
      </c>
      <c r="M111" s="184">
        <f t="shared" si="127"/>
        <v>0</v>
      </c>
      <c r="N111" s="140">
        <f t="shared" si="122"/>
        <v>0</v>
      </c>
      <c r="O111" s="185">
        <f t="shared" ref="O111:Q111" si="128">SUM(O103:O110)</f>
        <v>0</v>
      </c>
      <c r="P111" s="186">
        <f t="shared" si="128"/>
        <v>0</v>
      </c>
      <c r="Q111" s="186">
        <f t="shared" si="128"/>
        <v>0</v>
      </c>
      <c r="R111" s="141">
        <f t="shared" si="123"/>
        <v>0</v>
      </c>
      <c r="S111" s="151">
        <f t="shared" si="124"/>
        <v>0</v>
      </c>
    </row>
    <row r="112" ht="21.75" customHeight="1">
      <c r="B112" s="143" t="s">
        <v>202</v>
      </c>
      <c r="C112" s="168">
        <f t="shared" ref="C112:E112" si="129">SUM(C49,C61,C68,C75,C91,C101,C111)</f>
        <v>4240</v>
      </c>
      <c r="D112" s="168">
        <f t="shared" si="129"/>
        <v>3525</v>
      </c>
      <c r="E112" s="168">
        <f t="shared" si="129"/>
        <v>2868</v>
      </c>
      <c r="F112" s="169">
        <f t="shared" si="120"/>
        <v>10633</v>
      </c>
      <c r="G112" s="170">
        <f t="shared" ref="G112:I112" si="130">SUM(G49,G61,G68,G75,G91,G101,G111)</f>
        <v>3336</v>
      </c>
      <c r="H112" s="171">
        <f t="shared" si="130"/>
        <v>2723</v>
      </c>
      <c r="I112" s="171">
        <f t="shared" si="130"/>
        <v>3432</v>
      </c>
      <c r="J112" s="172">
        <f t="shared" si="121"/>
        <v>9491</v>
      </c>
      <c r="K112" s="173">
        <f t="shared" ref="K112:M112" si="131">SUM(K49,K61,K68,K75,K91,K101,K111)</f>
        <v>2461</v>
      </c>
      <c r="L112" s="174">
        <f t="shared" si="131"/>
        <v>2068</v>
      </c>
      <c r="M112" s="174">
        <f t="shared" si="131"/>
        <v>2537</v>
      </c>
      <c r="N112" s="175">
        <f t="shared" si="122"/>
        <v>7066</v>
      </c>
      <c r="O112" s="176">
        <f t="shared" ref="O112:Q112" si="132">SUM(O49,O61,O68,O75,O91,O101,O111)</f>
        <v>3556</v>
      </c>
      <c r="P112" s="177">
        <f t="shared" si="132"/>
        <v>2983</v>
      </c>
      <c r="Q112" s="177">
        <f t="shared" si="132"/>
        <v>2762</v>
      </c>
      <c r="R112" s="178">
        <f t="shared" si="123"/>
        <v>9301</v>
      </c>
      <c r="S112" s="179">
        <f t="shared" si="124"/>
        <v>36491</v>
      </c>
    </row>
    <row r="113" ht="15.0" customHeight="1">
      <c r="A113" s="105"/>
      <c r="B113" s="106"/>
      <c r="C113" s="107"/>
      <c r="D113" s="107"/>
      <c r="E113" s="107"/>
      <c r="F113" s="108"/>
      <c r="G113" s="107"/>
      <c r="H113" s="107"/>
      <c r="I113" s="107"/>
      <c r="J113" s="108"/>
      <c r="K113" s="107"/>
      <c r="L113" s="107"/>
      <c r="M113" s="107"/>
      <c r="N113" s="108"/>
      <c r="O113" s="107"/>
      <c r="P113" s="107"/>
      <c r="Q113" s="107"/>
      <c r="R113" s="108"/>
      <c r="S113" s="109"/>
      <c r="T113" s="105"/>
      <c r="U113" s="105"/>
      <c r="V113" s="105"/>
      <c r="W113" s="105"/>
      <c r="X113" s="105"/>
      <c r="Y113" s="105"/>
      <c r="Z113" s="105"/>
    </row>
    <row r="114" ht="45.0" customHeight="1">
      <c r="B114" s="14" t="s">
        <v>203</v>
      </c>
      <c r="C114" s="12"/>
      <c r="D114" s="12"/>
      <c r="E114" s="12"/>
      <c r="F114" s="12"/>
    </row>
    <row r="115" ht="31.5" customHeight="1">
      <c r="A115" s="17"/>
      <c r="B115" s="21"/>
      <c r="C115" s="22" t="s">
        <v>15</v>
      </c>
      <c r="D115" s="22" t="s">
        <v>16</v>
      </c>
      <c r="E115" s="22" t="s">
        <v>17</v>
      </c>
      <c r="F115" s="24" t="s">
        <v>18</v>
      </c>
      <c r="G115" s="26" t="s">
        <v>19</v>
      </c>
      <c r="H115" s="27" t="s">
        <v>20</v>
      </c>
      <c r="I115" s="27" t="s">
        <v>23</v>
      </c>
      <c r="J115" s="29" t="s">
        <v>13</v>
      </c>
      <c r="K115" s="30" t="s">
        <v>24</v>
      </c>
      <c r="L115" s="31" t="s">
        <v>26</v>
      </c>
      <c r="M115" s="31" t="s">
        <v>27</v>
      </c>
      <c r="N115" s="33" t="s">
        <v>28</v>
      </c>
      <c r="O115" s="35" t="s">
        <v>30</v>
      </c>
      <c r="P115" s="37" t="s">
        <v>31</v>
      </c>
      <c r="Q115" s="37" t="s">
        <v>32</v>
      </c>
      <c r="R115" s="39" t="s">
        <v>14</v>
      </c>
      <c r="S115" s="40" t="s">
        <v>33</v>
      </c>
      <c r="T115" s="17"/>
      <c r="U115" s="17"/>
      <c r="V115" s="17"/>
      <c r="W115" s="17"/>
      <c r="X115" s="17"/>
      <c r="Y115" s="17"/>
      <c r="Z115" s="17"/>
    </row>
    <row r="116" ht="21.75" customHeight="1">
      <c r="B116" s="131" t="s">
        <v>204</v>
      </c>
      <c r="C116" s="132"/>
      <c r="D116" s="132"/>
      <c r="E116" s="132"/>
      <c r="F116" s="133"/>
      <c r="G116" s="134"/>
      <c r="H116" s="132"/>
      <c r="I116" s="132"/>
      <c r="J116" s="133"/>
      <c r="K116" s="134"/>
      <c r="L116" s="132"/>
      <c r="M116" s="132"/>
      <c r="N116" s="133"/>
      <c r="O116" s="134"/>
      <c r="P116" s="132"/>
      <c r="Q116" s="132"/>
      <c r="R116" s="133"/>
      <c r="S116" s="134"/>
    </row>
    <row r="117" ht="21.75" customHeight="1">
      <c r="B117" s="135" t="s">
        <v>205</v>
      </c>
      <c r="C117" s="136">
        <v>3000.0</v>
      </c>
      <c r="D117" s="136">
        <v>3000.0</v>
      </c>
      <c r="E117" s="136">
        <v>3000.0</v>
      </c>
      <c r="F117" s="137">
        <f t="shared" ref="F117:F125" si="133">SUM(C117:E117)</f>
        <v>9000</v>
      </c>
      <c r="G117" s="136">
        <v>3000.0</v>
      </c>
      <c r="H117" s="136">
        <v>3000.0</v>
      </c>
      <c r="I117" s="136">
        <v>3000.0</v>
      </c>
      <c r="J117" s="139">
        <f t="shared" ref="J117:J125" si="134">SUM(G117:I117)</f>
        <v>9000</v>
      </c>
      <c r="K117" s="136">
        <v>3000.0</v>
      </c>
      <c r="L117" s="136">
        <v>3000.0</v>
      </c>
      <c r="M117" s="136">
        <v>3000.0</v>
      </c>
      <c r="N117" s="140">
        <f t="shared" ref="N117:N125" si="135">SUM(K117:M117)</f>
        <v>9000</v>
      </c>
      <c r="O117" s="136">
        <v>3000.0</v>
      </c>
      <c r="P117" s="136">
        <v>3000.0</v>
      </c>
      <c r="Q117" s="136">
        <v>3000.0</v>
      </c>
      <c r="R117" s="141">
        <f t="shared" ref="R117:R125" si="136">SUM(O117:Q117)</f>
        <v>9000</v>
      </c>
      <c r="S117" s="142">
        <f t="shared" ref="S117:S125" si="137">SUM(F117,J117,N117,R117)</f>
        <v>36000</v>
      </c>
    </row>
    <row r="118" ht="21.75" customHeight="1">
      <c r="B118" s="135" t="s">
        <v>206</v>
      </c>
      <c r="C118" s="136">
        <v>1234.0</v>
      </c>
      <c r="D118" s="136">
        <v>0.0</v>
      </c>
      <c r="E118" s="136">
        <v>0.0</v>
      </c>
      <c r="F118" s="137">
        <f t="shared" si="133"/>
        <v>1234</v>
      </c>
      <c r="G118" s="136">
        <v>0.0</v>
      </c>
      <c r="H118" s="136">
        <v>0.0</v>
      </c>
      <c r="I118" s="136">
        <v>0.0</v>
      </c>
      <c r="J118" s="139">
        <f t="shared" si="134"/>
        <v>0</v>
      </c>
      <c r="K118" s="136">
        <v>1234.0</v>
      </c>
      <c r="L118" s="136">
        <v>0.0</v>
      </c>
      <c r="M118" s="136">
        <v>0.0</v>
      </c>
      <c r="N118" s="140">
        <f t="shared" si="135"/>
        <v>1234</v>
      </c>
      <c r="O118" s="136">
        <v>0.0</v>
      </c>
      <c r="P118" s="136">
        <v>0.0</v>
      </c>
      <c r="Q118" s="136">
        <v>0.0</v>
      </c>
      <c r="R118" s="141">
        <f t="shared" si="136"/>
        <v>0</v>
      </c>
      <c r="S118" s="142">
        <f t="shared" si="137"/>
        <v>2468</v>
      </c>
    </row>
    <row r="119" ht="21.75" customHeight="1">
      <c r="B119" s="135" t="s">
        <v>100</v>
      </c>
      <c r="C119" s="136">
        <v>0.0</v>
      </c>
      <c r="D119" s="136">
        <v>0.0</v>
      </c>
      <c r="E119" s="136">
        <v>0.0</v>
      </c>
      <c r="F119" s="137">
        <f t="shared" si="133"/>
        <v>0</v>
      </c>
      <c r="G119" s="136">
        <v>0.0</v>
      </c>
      <c r="H119" s="136">
        <v>0.0</v>
      </c>
      <c r="I119" s="136">
        <v>0.0</v>
      </c>
      <c r="J119" s="139">
        <f t="shared" si="134"/>
        <v>0</v>
      </c>
      <c r="K119" s="136">
        <v>0.0</v>
      </c>
      <c r="L119" s="136">
        <v>0.0</v>
      </c>
      <c r="M119" s="136">
        <v>0.0</v>
      </c>
      <c r="N119" s="140">
        <f t="shared" si="135"/>
        <v>0</v>
      </c>
      <c r="O119" s="136">
        <v>0.0</v>
      </c>
      <c r="P119" s="136">
        <v>0.0</v>
      </c>
      <c r="Q119" s="136">
        <v>0.0</v>
      </c>
      <c r="R119" s="141">
        <f t="shared" si="136"/>
        <v>0</v>
      </c>
      <c r="S119" s="142">
        <f t="shared" si="137"/>
        <v>0</v>
      </c>
    </row>
    <row r="120" ht="21.75" customHeight="1">
      <c r="B120" s="135" t="s">
        <v>102</v>
      </c>
      <c r="C120" s="136">
        <v>0.0</v>
      </c>
      <c r="D120" s="136">
        <v>0.0</v>
      </c>
      <c r="E120" s="136">
        <v>0.0</v>
      </c>
      <c r="F120" s="137">
        <f t="shared" si="133"/>
        <v>0</v>
      </c>
      <c r="G120" s="136">
        <v>0.0</v>
      </c>
      <c r="H120" s="136">
        <v>0.0</v>
      </c>
      <c r="I120" s="136">
        <v>0.0</v>
      </c>
      <c r="J120" s="139">
        <f t="shared" si="134"/>
        <v>0</v>
      </c>
      <c r="K120" s="136">
        <v>0.0</v>
      </c>
      <c r="L120" s="136">
        <v>0.0</v>
      </c>
      <c r="M120" s="136">
        <v>0.0</v>
      </c>
      <c r="N120" s="140">
        <f t="shared" si="135"/>
        <v>0</v>
      </c>
      <c r="O120" s="136">
        <v>0.0</v>
      </c>
      <c r="P120" s="136">
        <v>0.0</v>
      </c>
      <c r="Q120" s="136">
        <v>0.0</v>
      </c>
      <c r="R120" s="141">
        <f t="shared" si="136"/>
        <v>0</v>
      </c>
      <c r="S120" s="142">
        <f t="shared" si="137"/>
        <v>0</v>
      </c>
    </row>
    <row r="121" ht="21.75" customHeight="1">
      <c r="B121" s="135" t="s">
        <v>75</v>
      </c>
      <c r="C121" s="136">
        <v>0.0</v>
      </c>
      <c r="D121" s="136">
        <v>0.0</v>
      </c>
      <c r="E121" s="136">
        <v>0.0</v>
      </c>
      <c r="F121" s="137">
        <f t="shared" si="133"/>
        <v>0</v>
      </c>
      <c r="G121" s="136">
        <v>0.0</v>
      </c>
      <c r="H121" s="136">
        <v>0.0</v>
      </c>
      <c r="I121" s="136">
        <v>0.0</v>
      </c>
      <c r="J121" s="139">
        <f t="shared" si="134"/>
        <v>0</v>
      </c>
      <c r="K121" s="136">
        <v>0.0</v>
      </c>
      <c r="L121" s="136">
        <v>0.0</v>
      </c>
      <c r="M121" s="136">
        <v>0.0</v>
      </c>
      <c r="N121" s="140">
        <f t="shared" si="135"/>
        <v>0</v>
      </c>
      <c r="O121" s="136">
        <v>0.0</v>
      </c>
      <c r="P121" s="136">
        <v>0.0</v>
      </c>
      <c r="Q121" s="136">
        <v>0.0</v>
      </c>
      <c r="R121" s="141">
        <f t="shared" si="136"/>
        <v>0</v>
      </c>
      <c r="S121" s="142">
        <f t="shared" si="137"/>
        <v>0</v>
      </c>
    </row>
    <row r="122" ht="21.75" customHeight="1">
      <c r="B122" s="135" t="s">
        <v>207</v>
      </c>
      <c r="C122" s="136">
        <v>0.0</v>
      </c>
      <c r="D122" s="136">
        <v>0.0</v>
      </c>
      <c r="E122" s="136">
        <v>0.0</v>
      </c>
      <c r="F122" s="137">
        <f t="shared" si="133"/>
        <v>0</v>
      </c>
      <c r="G122" s="136">
        <v>0.0</v>
      </c>
      <c r="H122" s="136">
        <v>0.0</v>
      </c>
      <c r="I122" s="136">
        <v>0.0</v>
      </c>
      <c r="J122" s="139">
        <f t="shared" si="134"/>
        <v>0</v>
      </c>
      <c r="K122" s="136">
        <v>0.0</v>
      </c>
      <c r="L122" s="136">
        <v>0.0</v>
      </c>
      <c r="M122" s="136">
        <v>0.0</v>
      </c>
      <c r="N122" s="140">
        <f t="shared" si="135"/>
        <v>0</v>
      </c>
      <c r="O122" s="136">
        <v>0.0</v>
      </c>
      <c r="P122" s="136">
        <v>0.0</v>
      </c>
      <c r="Q122" s="136">
        <v>0.0</v>
      </c>
      <c r="R122" s="141">
        <f t="shared" si="136"/>
        <v>0</v>
      </c>
      <c r="S122" s="142">
        <f t="shared" si="137"/>
        <v>0</v>
      </c>
    </row>
    <row r="123" ht="21.75" customHeight="1">
      <c r="B123" s="135" t="s">
        <v>76</v>
      </c>
      <c r="C123" s="136">
        <v>0.0</v>
      </c>
      <c r="D123" s="136">
        <v>0.0</v>
      </c>
      <c r="E123" s="136">
        <v>0.0</v>
      </c>
      <c r="F123" s="137">
        <f t="shared" si="133"/>
        <v>0</v>
      </c>
      <c r="G123" s="136">
        <v>0.0</v>
      </c>
      <c r="H123" s="136">
        <v>0.0</v>
      </c>
      <c r="I123" s="136">
        <v>0.0</v>
      </c>
      <c r="J123" s="139">
        <f t="shared" si="134"/>
        <v>0</v>
      </c>
      <c r="K123" s="136">
        <v>0.0</v>
      </c>
      <c r="L123" s="136">
        <v>0.0</v>
      </c>
      <c r="M123" s="136">
        <v>0.0</v>
      </c>
      <c r="N123" s="140">
        <f t="shared" si="135"/>
        <v>0</v>
      </c>
      <c r="O123" s="136">
        <v>0.0</v>
      </c>
      <c r="P123" s="136">
        <v>0.0</v>
      </c>
      <c r="Q123" s="136">
        <v>0.0</v>
      </c>
      <c r="R123" s="141">
        <f t="shared" si="136"/>
        <v>0</v>
      </c>
      <c r="S123" s="142">
        <f t="shared" si="137"/>
        <v>0</v>
      </c>
    </row>
    <row r="124" ht="21.75" customHeight="1">
      <c r="B124" s="135" t="s">
        <v>76</v>
      </c>
      <c r="C124" s="136">
        <v>0.0</v>
      </c>
      <c r="D124" s="136">
        <v>0.0</v>
      </c>
      <c r="E124" s="136">
        <v>0.0</v>
      </c>
      <c r="F124" s="137">
        <f t="shared" si="133"/>
        <v>0</v>
      </c>
      <c r="G124" s="136">
        <v>0.0</v>
      </c>
      <c r="H124" s="136">
        <v>0.0</v>
      </c>
      <c r="I124" s="136">
        <v>0.0</v>
      </c>
      <c r="J124" s="139">
        <f t="shared" si="134"/>
        <v>0</v>
      </c>
      <c r="K124" s="136">
        <v>0.0</v>
      </c>
      <c r="L124" s="136">
        <v>0.0</v>
      </c>
      <c r="M124" s="136">
        <v>0.0</v>
      </c>
      <c r="N124" s="140">
        <f t="shared" si="135"/>
        <v>0</v>
      </c>
      <c r="O124" s="136">
        <v>0.0</v>
      </c>
      <c r="P124" s="136">
        <v>0.0</v>
      </c>
      <c r="Q124" s="136">
        <v>0.0</v>
      </c>
      <c r="R124" s="141">
        <f t="shared" si="136"/>
        <v>0</v>
      </c>
      <c r="S124" s="142">
        <f t="shared" si="137"/>
        <v>0</v>
      </c>
    </row>
    <row r="125" ht="21.75" customHeight="1">
      <c r="B125" s="143" t="s">
        <v>208</v>
      </c>
      <c r="C125" s="180">
        <f t="shared" ref="C125:E125" si="138">SUM(C117:C124)</f>
        <v>4234</v>
      </c>
      <c r="D125" s="180">
        <f t="shared" si="138"/>
        <v>3000</v>
      </c>
      <c r="E125" s="180">
        <f t="shared" si="138"/>
        <v>3000</v>
      </c>
      <c r="F125" s="137">
        <f t="shared" si="133"/>
        <v>10234</v>
      </c>
      <c r="G125" s="181">
        <f t="shared" ref="G125:I125" si="139">SUM(G117:G124)</f>
        <v>3000</v>
      </c>
      <c r="H125" s="182">
        <f t="shared" si="139"/>
        <v>3000</v>
      </c>
      <c r="I125" s="182">
        <f t="shared" si="139"/>
        <v>3000</v>
      </c>
      <c r="J125" s="139">
        <f t="shared" si="134"/>
        <v>9000</v>
      </c>
      <c r="K125" s="183">
        <f t="shared" ref="K125:M125" si="140">SUM(K117:K124)</f>
        <v>4234</v>
      </c>
      <c r="L125" s="184">
        <f t="shared" si="140"/>
        <v>3000</v>
      </c>
      <c r="M125" s="184">
        <f t="shared" si="140"/>
        <v>3000</v>
      </c>
      <c r="N125" s="140">
        <f t="shared" si="135"/>
        <v>10234</v>
      </c>
      <c r="O125" s="185">
        <f t="shared" ref="O125:Q125" si="141">SUM(O117:O124)</f>
        <v>3000</v>
      </c>
      <c r="P125" s="186">
        <f t="shared" si="141"/>
        <v>3000</v>
      </c>
      <c r="Q125" s="186">
        <f t="shared" si="141"/>
        <v>3000</v>
      </c>
      <c r="R125" s="141">
        <f t="shared" si="136"/>
        <v>9000</v>
      </c>
      <c r="S125" s="151">
        <f t="shared" si="137"/>
        <v>38468</v>
      </c>
    </row>
    <row r="126" ht="21.75" customHeight="1">
      <c r="B126" s="131" t="s">
        <v>209</v>
      </c>
      <c r="C126" s="132"/>
      <c r="D126" s="132"/>
      <c r="E126" s="132"/>
      <c r="F126" s="133"/>
      <c r="G126" s="134"/>
      <c r="H126" s="132"/>
      <c r="I126" s="132"/>
      <c r="J126" s="133"/>
      <c r="K126" s="134"/>
      <c r="L126" s="132"/>
      <c r="M126" s="132"/>
      <c r="N126" s="133"/>
      <c r="O126" s="134"/>
      <c r="P126" s="132"/>
      <c r="Q126" s="132"/>
      <c r="R126" s="133"/>
      <c r="S126" s="134"/>
    </row>
    <row r="127" ht="21.75" customHeight="1">
      <c r="B127" s="135" t="s">
        <v>205</v>
      </c>
      <c r="C127" s="136">
        <v>1100.0</v>
      </c>
      <c r="D127" s="136">
        <v>550.0</v>
      </c>
      <c r="E127" s="136">
        <v>800.0</v>
      </c>
      <c r="F127" s="137">
        <f t="shared" ref="F127:F137" si="142">SUM(C127:E127)</f>
        <v>2450</v>
      </c>
      <c r="G127" s="136">
        <v>550.0</v>
      </c>
      <c r="H127" s="136">
        <v>1212.0</v>
      </c>
      <c r="I127" s="136">
        <v>2100.0</v>
      </c>
      <c r="J127" s="139">
        <f t="shared" ref="J127:J137" si="143">SUM(G127:I127)</f>
        <v>3862</v>
      </c>
      <c r="K127" s="136">
        <v>850.0</v>
      </c>
      <c r="L127" s="136">
        <v>400.0</v>
      </c>
      <c r="M127" s="136">
        <v>400.0</v>
      </c>
      <c r="N127" s="140">
        <f t="shared" ref="N127:N137" si="144">SUM(K127:M127)</f>
        <v>1650</v>
      </c>
      <c r="O127" s="136">
        <v>365.0</v>
      </c>
      <c r="P127" s="136">
        <v>550.0</v>
      </c>
      <c r="Q127" s="136">
        <v>234.0</v>
      </c>
      <c r="R127" s="141">
        <f t="shared" ref="R127:R137" si="145">SUM(O127:Q127)</f>
        <v>1149</v>
      </c>
      <c r="S127" s="142">
        <f t="shared" ref="S127:S137" si="146">SUM(F127,J127,N127,R127)</f>
        <v>9111</v>
      </c>
    </row>
    <row r="128" ht="21.75" customHeight="1">
      <c r="B128" s="135" t="s">
        <v>206</v>
      </c>
      <c r="C128" s="136">
        <v>0.0</v>
      </c>
      <c r="D128" s="136">
        <v>0.0</v>
      </c>
      <c r="E128" s="136">
        <v>0.0</v>
      </c>
      <c r="F128" s="137">
        <f t="shared" si="142"/>
        <v>0</v>
      </c>
      <c r="G128" s="136">
        <v>0.0</v>
      </c>
      <c r="H128" s="136">
        <v>0.0</v>
      </c>
      <c r="I128" s="136">
        <v>0.0</v>
      </c>
      <c r="J128" s="139">
        <f t="shared" si="143"/>
        <v>0</v>
      </c>
      <c r="K128" s="136">
        <v>0.0</v>
      </c>
      <c r="L128" s="136">
        <v>0.0</v>
      </c>
      <c r="M128" s="136">
        <v>0.0</v>
      </c>
      <c r="N128" s="140">
        <f t="shared" si="144"/>
        <v>0</v>
      </c>
      <c r="O128" s="136">
        <v>0.0</v>
      </c>
      <c r="P128" s="136">
        <v>0.0</v>
      </c>
      <c r="Q128" s="136">
        <v>0.0</v>
      </c>
      <c r="R128" s="141">
        <f t="shared" si="145"/>
        <v>0</v>
      </c>
      <c r="S128" s="142">
        <f t="shared" si="146"/>
        <v>0</v>
      </c>
    </row>
    <row r="129" ht="21.75" customHeight="1">
      <c r="B129" s="135" t="s">
        <v>100</v>
      </c>
      <c r="C129" s="136">
        <v>0.0</v>
      </c>
      <c r="D129" s="136">
        <v>0.0</v>
      </c>
      <c r="E129" s="136">
        <v>0.0</v>
      </c>
      <c r="F129" s="137">
        <f t="shared" si="142"/>
        <v>0</v>
      </c>
      <c r="G129" s="136">
        <v>0.0</v>
      </c>
      <c r="H129" s="136">
        <v>0.0</v>
      </c>
      <c r="I129" s="136">
        <v>0.0</v>
      </c>
      <c r="J129" s="139">
        <f t="shared" si="143"/>
        <v>0</v>
      </c>
      <c r="K129" s="136">
        <v>0.0</v>
      </c>
      <c r="L129" s="136">
        <v>0.0</v>
      </c>
      <c r="M129" s="136">
        <v>0.0</v>
      </c>
      <c r="N129" s="140">
        <f t="shared" si="144"/>
        <v>0</v>
      </c>
      <c r="O129" s="136">
        <v>0.0</v>
      </c>
      <c r="P129" s="136">
        <v>0.0</v>
      </c>
      <c r="Q129" s="136">
        <v>0.0</v>
      </c>
      <c r="R129" s="141">
        <f t="shared" si="145"/>
        <v>0</v>
      </c>
      <c r="S129" s="142">
        <f t="shared" si="146"/>
        <v>0</v>
      </c>
    </row>
    <row r="130" ht="21.75" customHeight="1">
      <c r="B130" s="135" t="s">
        <v>75</v>
      </c>
      <c r="C130" s="136">
        <v>0.0</v>
      </c>
      <c r="D130" s="136">
        <v>0.0</v>
      </c>
      <c r="E130" s="136">
        <v>0.0</v>
      </c>
      <c r="F130" s="137">
        <f t="shared" si="142"/>
        <v>0</v>
      </c>
      <c r="G130" s="136">
        <v>0.0</v>
      </c>
      <c r="H130" s="136">
        <v>0.0</v>
      </c>
      <c r="I130" s="136">
        <v>0.0</v>
      </c>
      <c r="J130" s="139">
        <f t="shared" si="143"/>
        <v>0</v>
      </c>
      <c r="K130" s="136">
        <v>0.0</v>
      </c>
      <c r="L130" s="136">
        <v>0.0</v>
      </c>
      <c r="M130" s="136">
        <v>0.0</v>
      </c>
      <c r="N130" s="140">
        <f t="shared" si="144"/>
        <v>0</v>
      </c>
      <c r="O130" s="136">
        <v>0.0</v>
      </c>
      <c r="P130" s="136">
        <v>0.0</v>
      </c>
      <c r="Q130" s="136">
        <v>0.0</v>
      </c>
      <c r="R130" s="141">
        <f t="shared" si="145"/>
        <v>0</v>
      </c>
      <c r="S130" s="142">
        <f t="shared" si="146"/>
        <v>0</v>
      </c>
    </row>
    <row r="131" ht="21.75" customHeight="1">
      <c r="B131" s="135" t="s">
        <v>102</v>
      </c>
      <c r="C131" s="136">
        <v>0.0</v>
      </c>
      <c r="D131" s="136">
        <v>0.0</v>
      </c>
      <c r="E131" s="136">
        <v>0.0</v>
      </c>
      <c r="F131" s="137">
        <f t="shared" si="142"/>
        <v>0</v>
      </c>
      <c r="G131" s="136">
        <v>0.0</v>
      </c>
      <c r="H131" s="136">
        <v>0.0</v>
      </c>
      <c r="I131" s="136">
        <v>0.0</v>
      </c>
      <c r="J131" s="139">
        <f t="shared" si="143"/>
        <v>0</v>
      </c>
      <c r="K131" s="136">
        <v>0.0</v>
      </c>
      <c r="L131" s="136">
        <v>0.0</v>
      </c>
      <c r="M131" s="136">
        <v>0.0</v>
      </c>
      <c r="N131" s="140">
        <f t="shared" si="144"/>
        <v>0</v>
      </c>
      <c r="O131" s="136">
        <v>0.0</v>
      </c>
      <c r="P131" s="136">
        <v>0.0</v>
      </c>
      <c r="Q131" s="136">
        <v>0.0</v>
      </c>
      <c r="R131" s="141">
        <f t="shared" si="145"/>
        <v>0</v>
      </c>
      <c r="S131" s="142">
        <f t="shared" si="146"/>
        <v>0</v>
      </c>
    </row>
    <row r="132" ht="21.75" customHeight="1">
      <c r="B132" s="135" t="s">
        <v>207</v>
      </c>
      <c r="C132" s="136">
        <v>0.0</v>
      </c>
      <c r="D132" s="136">
        <v>0.0</v>
      </c>
      <c r="E132" s="136">
        <v>0.0</v>
      </c>
      <c r="F132" s="137">
        <f t="shared" si="142"/>
        <v>0</v>
      </c>
      <c r="G132" s="136">
        <v>0.0</v>
      </c>
      <c r="H132" s="136">
        <v>0.0</v>
      </c>
      <c r="I132" s="136">
        <v>0.0</v>
      </c>
      <c r="J132" s="139">
        <f t="shared" si="143"/>
        <v>0</v>
      </c>
      <c r="K132" s="136">
        <v>0.0</v>
      </c>
      <c r="L132" s="136">
        <v>0.0</v>
      </c>
      <c r="M132" s="136">
        <v>0.0</v>
      </c>
      <c r="N132" s="140">
        <f t="shared" si="144"/>
        <v>0</v>
      </c>
      <c r="O132" s="136">
        <v>0.0</v>
      </c>
      <c r="P132" s="136">
        <v>0.0</v>
      </c>
      <c r="Q132" s="136">
        <v>0.0</v>
      </c>
      <c r="R132" s="141">
        <f t="shared" si="145"/>
        <v>0</v>
      </c>
      <c r="S132" s="142">
        <f t="shared" si="146"/>
        <v>0</v>
      </c>
    </row>
    <row r="133" ht="21.75" customHeight="1">
      <c r="B133" s="135" t="s">
        <v>76</v>
      </c>
      <c r="C133" s="136">
        <v>0.0</v>
      </c>
      <c r="D133" s="136">
        <v>0.0</v>
      </c>
      <c r="E133" s="136">
        <v>0.0</v>
      </c>
      <c r="F133" s="137">
        <f t="shared" si="142"/>
        <v>0</v>
      </c>
      <c r="G133" s="136">
        <v>0.0</v>
      </c>
      <c r="H133" s="136">
        <v>0.0</v>
      </c>
      <c r="I133" s="136">
        <v>0.0</v>
      </c>
      <c r="J133" s="139">
        <f t="shared" si="143"/>
        <v>0</v>
      </c>
      <c r="K133" s="136">
        <v>0.0</v>
      </c>
      <c r="L133" s="136">
        <v>0.0</v>
      </c>
      <c r="M133" s="136">
        <v>0.0</v>
      </c>
      <c r="N133" s="140">
        <f t="shared" si="144"/>
        <v>0</v>
      </c>
      <c r="O133" s="136">
        <v>0.0</v>
      </c>
      <c r="P133" s="136">
        <v>0.0</v>
      </c>
      <c r="Q133" s="136">
        <v>0.0</v>
      </c>
      <c r="R133" s="141">
        <f t="shared" si="145"/>
        <v>0</v>
      </c>
      <c r="S133" s="142">
        <f t="shared" si="146"/>
        <v>0</v>
      </c>
    </row>
    <row r="134" ht="21.75" customHeight="1">
      <c r="B134" s="135" t="s">
        <v>76</v>
      </c>
      <c r="C134" s="136">
        <v>0.0</v>
      </c>
      <c r="D134" s="136">
        <v>0.0</v>
      </c>
      <c r="E134" s="136">
        <v>0.0</v>
      </c>
      <c r="F134" s="137">
        <f t="shared" si="142"/>
        <v>0</v>
      </c>
      <c r="G134" s="136">
        <v>0.0</v>
      </c>
      <c r="H134" s="136">
        <v>0.0</v>
      </c>
      <c r="I134" s="136">
        <v>0.0</v>
      </c>
      <c r="J134" s="139">
        <f t="shared" si="143"/>
        <v>0</v>
      </c>
      <c r="K134" s="136">
        <v>0.0</v>
      </c>
      <c r="L134" s="136">
        <v>0.0</v>
      </c>
      <c r="M134" s="136">
        <v>0.0</v>
      </c>
      <c r="N134" s="140">
        <f t="shared" si="144"/>
        <v>0</v>
      </c>
      <c r="O134" s="136">
        <v>0.0</v>
      </c>
      <c r="P134" s="136">
        <v>0.0</v>
      </c>
      <c r="Q134" s="136">
        <v>0.0</v>
      </c>
      <c r="R134" s="141">
        <f t="shared" si="145"/>
        <v>0</v>
      </c>
      <c r="S134" s="142">
        <f t="shared" si="146"/>
        <v>0</v>
      </c>
    </row>
    <row r="135" ht="21.75" customHeight="1">
      <c r="B135" s="135" t="s">
        <v>76</v>
      </c>
      <c r="C135" s="136">
        <v>0.0</v>
      </c>
      <c r="D135" s="136">
        <v>0.0</v>
      </c>
      <c r="E135" s="136">
        <v>0.0</v>
      </c>
      <c r="F135" s="137">
        <f t="shared" si="142"/>
        <v>0</v>
      </c>
      <c r="G135" s="136">
        <v>0.0</v>
      </c>
      <c r="H135" s="136">
        <v>0.0</v>
      </c>
      <c r="I135" s="136">
        <v>0.0</v>
      </c>
      <c r="J135" s="139">
        <f t="shared" si="143"/>
        <v>0</v>
      </c>
      <c r="K135" s="136">
        <v>0.0</v>
      </c>
      <c r="L135" s="136">
        <v>0.0</v>
      </c>
      <c r="M135" s="136">
        <v>0.0</v>
      </c>
      <c r="N135" s="140">
        <f t="shared" si="144"/>
        <v>0</v>
      </c>
      <c r="O135" s="136">
        <v>0.0</v>
      </c>
      <c r="P135" s="136">
        <v>0.0</v>
      </c>
      <c r="Q135" s="136">
        <v>0.0</v>
      </c>
      <c r="R135" s="141">
        <f t="shared" si="145"/>
        <v>0</v>
      </c>
      <c r="S135" s="142">
        <f t="shared" si="146"/>
        <v>0</v>
      </c>
    </row>
    <row r="136" ht="21.75" customHeight="1">
      <c r="B136" s="143" t="s">
        <v>210</v>
      </c>
      <c r="C136" s="180">
        <f t="shared" ref="C136:E136" si="147">SUM(C127:C135)</f>
        <v>1100</v>
      </c>
      <c r="D136" s="180">
        <f t="shared" si="147"/>
        <v>550</v>
      </c>
      <c r="E136" s="180">
        <f t="shared" si="147"/>
        <v>800</v>
      </c>
      <c r="F136" s="137">
        <f t="shared" si="142"/>
        <v>2450</v>
      </c>
      <c r="G136" s="181">
        <f t="shared" ref="G136:I136" si="148">SUM(G127:G135)</f>
        <v>550</v>
      </c>
      <c r="H136" s="182">
        <f t="shared" si="148"/>
        <v>1212</v>
      </c>
      <c r="I136" s="182">
        <f t="shared" si="148"/>
        <v>2100</v>
      </c>
      <c r="J136" s="139">
        <f t="shared" si="143"/>
        <v>3862</v>
      </c>
      <c r="K136" s="183">
        <f t="shared" ref="K136:M136" si="149">SUM(K127:K135)</f>
        <v>850</v>
      </c>
      <c r="L136" s="184">
        <f t="shared" si="149"/>
        <v>400</v>
      </c>
      <c r="M136" s="184">
        <f t="shared" si="149"/>
        <v>400</v>
      </c>
      <c r="N136" s="140">
        <f t="shared" si="144"/>
        <v>1650</v>
      </c>
      <c r="O136" s="185">
        <f t="shared" ref="O136:Q136" si="150">SUM(O127:O135)</f>
        <v>365</v>
      </c>
      <c r="P136" s="186">
        <f t="shared" si="150"/>
        <v>550</v>
      </c>
      <c r="Q136" s="186">
        <f t="shared" si="150"/>
        <v>234</v>
      </c>
      <c r="R136" s="141">
        <f t="shared" si="145"/>
        <v>1149</v>
      </c>
      <c r="S136" s="151">
        <f t="shared" si="146"/>
        <v>9111</v>
      </c>
    </row>
    <row r="137" ht="21.75" customHeight="1">
      <c r="B137" s="143" t="s">
        <v>211</v>
      </c>
      <c r="C137" s="168">
        <f t="shared" ref="C137:E137" si="151">SUM(C125,C136)</f>
        <v>5334</v>
      </c>
      <c r="D137" s="168">
        <f t="shared" si="151"/>
        <v>3550</v>
      </c>
      <c r="E137" s="168">
        <f t="shared" si="151"/>
        <v>3800</v>
      </c>
      <c r="F137" s="169">
        <f t="shared" si="142"/>
        <v>12684</v>
      </c>
      <c r="G137" s="170">
        <f t="shared" ref="G137:I137" si="152">SUM(G125,G136)</f>
        <v>3550</v>
      </c>
      <c r="H137" s="171">
        <f t="shared" si="152"/>
        <v>4212</v>
      </c>
      <c r="I137" s="171">
        <f t="shared" si="152"/>
        <v>5100</v>
      </c>
      <c r="J137" s="172">
        <f t="shared" si="143"/>
        <v>12862</v>
      </c>
      <c r="K137" s="173">
        <f t="shared" ref="K137:M137" si="153">SUM(K125,K136)</f>
        <v>5084</v>
      </c>
      <c r="L137" s="174">
        <f t="shared" si="153"/>
        <v>3400</v>
      </c>
      <c r="M137" s="174">
        <f t="shared" si="153"/>
        <v>3400</v>
      </c>
      <c r="N137" s="175">
        <f t="shared" si="144"/>
        <v>11884</v>
      </c>
      <c r="O137" s="176">
        <f t="shared" ref="O137:Q137" si="154">SUM(O125,O136)</f>
        <v>3365</v>
      </c>
      <c r="P137" s="177">
        <f t="shared" si="154"/>
        <v>3550</v>
      </c>
      <c r="Q137" s="177">
        <f t="shared" si="154"/>
        <v>3234</v>
      </c>
      <c r="R137" s="178">
        <f t="shared" si="145"/>
        <v>10149</v>
      </c>
      <c r="S137" s="179">
        <f t="shared" si="146"/>
        <v>47579</v>
      </c>
    </row>
    <row r="138" ht="15.0" customHeight="1">
      <c r="A138" s="105"/>
      <c r="B138" s="106"/>
      <c r="C138" s="107"/>
      <c r="D138" s="107"/>
      <c r="E138" s="107"/>
      <c r="F138" s="108"/>
      <c r="G138" s="107"/>
      <c r="H138" s="107"/>
      <c r="I138" s="107"/>
      <c r="J138" s="108"/>
      <c r="K138" s="107"/>
      <c r="L138" s="107"/>
      <c r="M138" s="107"/>
      <c r="N138" s="108"/>
      <c r="O138" s="107"/>
      <c r="P138" s="107"/>
      <c r="Q138" s="107"/>
      <c r="R138" s="108"/>
      <c r="S138" s="109"/>
      <c r="T138" s="105"/>
      <c r="U138" s="105"/>
      <c r="V138" s="105"/>
      <c r="W138" s="105"/>
      <c r="X138" s="105"/>
      <c r="Y138" s="105"/>
      <c r="Z138" s="105"/>
    </row>
    <row r="139" ht="45.0" customHeight="1">
      <c r="B139" s="14" t="s">
        <v>50</v>
      </c>
      <c r="C139" s="12"/>
      <c r="D139" s="12"/>
      <c r="E139" s="12"/>
      <c r="F139" s="12"/>
    </row>
    <row r="140" ht="31.5" customHeight="1">
      <c r="A140" s="113"/>
      <c r="B140" s="189" t="s">
        <v>50</v>
      </c>
      <c r="C140" s="190">
        <f t="shared" ref="C140:E140" si="155">SUM(C112,C137)</f>
        <v>9574</v>
      </c>
      <c r="D140" s="190">
        <f t="shared" si="155"/>
        <v>7075</v>
      </c>
      <c r="E140" s="190">
        <f t="shared" si="155"/>
        <v>6668</v>
      </c>
      <c r="F140" s="191">
        <f>SUM(C140:E140)</f>
        <v>23317</v>
      </c>
      <c r="G140" s="192">
        <f t="shared" ref="G140:I140" si="156">SUM(G112,G137)</f>
        <v>6886</v>
      </c>
      <c r="H140" s="193">
        <f t="shared" si="156"/>
        <v>6935</v>
      </c>
      <c r="I140" s="193">
        <f t="shared" si="156"/>
        <v>8532</v>
      </c>
      <c r="J140" s="194">
        <f>SUM(G140:I140)</f>
        <v>22353</v>
      </c>
      <c r="K140" s="195">
        <f t="shared" ref="K140:M140" si="157">SUM(K112,K137)</f>
        <v>7545</v>
      </c>
      <c r="L140" s="196">
        <f t="shared" si="157"/>
        <v>5468</v>
      </c>
      <c r="M140" s="196">
        <f t="shared" si="157"/>
        <v>5937</v>
      </c>
      <c r="N140" s="197">
        <f>SUM(K140:M140)</f>
        <v>18950</v>
      </c>
      <c r="O140" s="198">
        <f t="shared" ref="O140:Q140" si="158">SUM(O112,O137)</f>
        <v>6921</v>
      </c>
      <c r="P140" s="199">
        <f t="shared" si="158"/>
        <v>6533</v>
      </c>
      <c r="Q140" s="199">
        <f t="shared" si="158"/>
        <v>5996</v>
      </c>
      <c r="R140" s="200">
        <f>SUM(O140:Q140)</f>
        <v>19450</v>
      </c>
      <c r="S140" s="201">
        <f>SUM(F140,J140,N140,R140)</f>
        <v>84070</v>
      </c>
      <c r="T140" s="113"/>
      <c r="U140" s="113"/>
      <c r="V140" s="113"/>
      <c r="W140" s="113"/>
      <c r="X140" s="113"/>
      <c r="Y140" s="113"/>
      <c r="Z140" s="113"/>
    </row>
    <row r="141" ht="15.75" customHeight="1"/>
    <row r="142" ht="49.5" customHeight="1">
      <c r="A142" s="202"/>
      <c r="B142" s="203" t="s">
        <v>212</v>
      </c>
      <c r="C142" s="204"/>
      <c r="D142" s="204"/>
      <c r="E142" s="204"/>
      <c r="F142" s="204"/>
      <c r="G142" s="204"/>
      <c r="H142" s="204"/>
      <c r="I142" s="204"/>
      <c r="J142" s="204"/>
      <c r="K142" s="204"/>
      <c r="L142" s="204"/>
      <c r="M142" s="204"/>
      <c r="N142" s="204"/>
      <c r="O142" s="204"/>
      <c r="P142" s="204"/>
      <c r="Q142" s="204"/>
      <c r="R142" s="204"/>
      <c r="S142" s="205"/>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2:G2"/>
    <mergeCell ref="B3:F3"/>
    <mergeCell ref="F12:F16"/>
    <mergeCell ref="J12:J16"/>
    <mergeCell ref="N12:N16"/>
    <mergeCell ref="R12:R16"/>
    <mergeCell ref="B142:S142"/>
  </mergeCells>
  <hyperlinks>
    <hyperlink r:id="rId1" ref="F2"/>
    <hyperlink r:id="rId2" ref="B142"/>
  </hyperlinks>
  <printOptions/>
  <pageMargins bottom="0.25" footer="0.0" header="0.0" left="0.25" right="0.25" top="0.25"/>
  <pageSetup fitToHeight="0"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fitToPage="1"/>
  </sheetPr>
  <sheetViews>
    <sheetView showGridLines="0" workbookViewId="0"/>
  </sheetViews>
  <sheetFormatPr customHeight="1" defaultColWidth="11.22" defaultRowHeight="15.0"/>
  <cols>
    <col customWidth="1" min="1" max="1" width="3.33"/>
    <col customWidth="1" min="2" max="2" width="44.67"/>
    <col customWidth="1" min="3" max="5" width="15.67"/>
    <col customWidth="1" min="6" max="6" width="3.0"/>
    <col customWidth="1" min="7" max="26" width="11.0"/>
  </cols>
  <sheetData>
    <row r="1" ht="49.5" customHeight="1">
      <c r="A1" s="1" t="s">
        <v>0</v>
      </c>
      <c r="B1" s="3" t="s">
        <v>2</v>
      </c>
      <c r="C1" s="1"/>
      <c r="D1" s="4"/>
      <c r="E1" s="1"/>
      <c r="F1" s="1"/>
      <c r="G1" s="1"/>
      <c r="H1" s="1"/>
      <c r="I1" s="1"/>
      <c r="J1" s="1"/>
      <c r="K1" s="1"/>
      <c r="L1" s="1"/>
      <c r="M1" s="1"/>
      <c r="N1" s="1"/>
      <c r="O1" s="1"/>
      <c r="P1" s="1"/>
      <c r="Q1" s="1"/>
      <c r="R1" s="1"/>
      <c r="S1" s="1"/>
      <c r="T1" s="1"/>
      <c r="U1" s="1"/>
      <c r="V1" s="1"/>
      <c r="W1" s="1"/>
      <c r="X1" s="1"/>
      <c r="Y1" s="1"/>
      <c r="Z1" s="1"/>
    </row>
    <row r="2" ht="21.75" customHeight="1">
      <c r="B2" s="7" t="s">
        <v>5</v>
      </c>
    </row>
    <row r="3" ht="32.25" customHeight="1">
      <c r="B3" s="10" t="s">
        <v>7</v>
      </c>
      <c r="C3" s="7"/>
      <c r="D3" s="7"/>
      <c r="E3" s="7"/>
      <c r="F3" s="12"/>
    </row>
    <row r="4" ht="31.5" customHeight="1">
      <c r="A4" s="9"/>
      <c r="B4" s="16"/>
      <c r="C4" s="18" t="s">
        <v>12</v>
      </c>
      <c r="D4" s="19" t="s">
        <v>13</v>
      </c>
      <c r="E4" s="23" t="s">
        <v>14</v>
      </c>
      <c r="F4" s="9"/>
      <c r="G4" s="9"/>
      <c r="H4" s="9"/>
      <c r="I4" s="9"/>
      <c r="J4" s="9"/>
      <c r="K4" s="9"/>
      <c r="L4" s="9"/>
      <c r="M4" s="9"/>
      <c r="N4" s="9"/>
      <c r="O4" s="9"/>
      <c r="P4" s="9"/>
      <c r="Q4" s="9"/>
      <c r="R4" s="9"/>
      <c r="S4" s="9"/>
      <c r="T4" s="9"/>
      <c r="U4" s="9"/>
      <c r="V4" s="9"/>
      <c r="W4" s="9"/>
      <c r="X4" s="9"/>
      <c r="Y4" s="9"/>
      <c r="Z4" s="9"/>
    </row>
    <row r="5" ht="42.75" customHeight="1">
      <c r="B5" s="28" t="s">
        <v>21</v>
      </c>
      <c r="C5" s="32">
        <f t="shared" ref="C5:E5" si="1">C31/C56</f>
        <v>4.662166667</v>
      </c>
      <c r="D5" s="42">
        <f t="shared" si="1"/>
        <v>5.665333333</v>
      </c>
      <c r="E5" s="46">
        <f t="shared" si="1"/>
        <v>7.6756</v>
      </c>
    </row>
    <row r="6" ht="42.75" customHeight="1">
      <c r="B6" s="28" t="s">
        <v>44</v>
      </c>
      <c r="C6" s="53">
        <f t="shared" ref="C6:E6" si="2">(C31-C28)/(C56-C46)</f>
        <v>3.228833333</v>
      </c>
      <c r="D6" s="56">
        <f t="shared" si="2"/>
        <v>3.720888889</v>
      </c>
      <c r="E6" s="58">
        <f t="shared" si="2"/>
        <v>5.328933333</v>
      </c>
    </row>
    <row r="7" ht="42.75" customHeight="1">
      <c r="B7" s="28" t="s">
        <v>48</v>
      </c>
      <c r="C7" s="62">
        <f t="shared" ref="C7:E7" si="3">C31-C56</f>
        <v>43946</v>
      </c>
      <c r="D7" s="64">
        <f t="shared" si="3"/>
        <v>41988</v>
      </c>
      <c r="E7" s="66">
        <f t="shared" si="3"/>
        <v>50067</v>
      </c>
    </row>
    <row r="8" ht="42.75" customHeight="1">
      <c r="B8" s="28" t="s">
        <v>62</v>
      </c>
      <c r="C8" s="32">
        <f t="shared" ref="C8:E8" si="4">C65/C42</f>
        <v>0.8139091885</v>
      </c>
      <c r="D8" s="42">
        <f t="shared" si="4"/>
        <v>0.7956353717</v>
      </c>
      <c r="E8" s="46">
        <f t="shared" si="4"/>
        <v>0.6316640558</v>
      </c>
    </row>
    <row r="9" ht="42.75" customHeight="1">
      <c r="B9" s="28" t="s">
        <v>66</v>
      </c>
      <c r="C9" s="32">
        <f t="shared" ref="C9:E9" si="5">C65/C74</f>
        <v>0.94</v>
      </c>
      <c r="D9" s="42">
        <f t="shared" si="5"/>
        <v>0.7</v>
      </c>
      <c r="E9" s="46">
        <f t="shared" si="5"/>
        <v>0.8333333333</v>
      </c>
    </row>
    <row r="10" ht="45.0" customHeight="1">
      <c r="B10" s="10" t="s">
        <v>67</v>
      </c>
      <c r="C10" s="12"/>
      <c r="D10" s="12"/>
      <c r="E10" s="12"/>
      <c r="F10" s="12"/>
    </row>
    <row r="11" ht="31.5" customHeight="1">
      <c r="A11" s="9"/>
      <c r="B11" s="70"/>
      <c r="C11" s="71" t="s">
        <v>12</v>
      </c>
      <c r="D11" s="72" t="s">
        <v>13</v>
      </c>
      <c r="E11" s="74" t="s">
        <v>14</v>
      </c>
      <c r="F11" s="9"/>
      <c r="G11" s="9"/>
      <c r="H11" s="9"/>
      <c r="I11" s="9"/>
      <c r="J11" s="9"/>
      <c r="K11" s="9"/>
      <c r="L11" s="9"/>
      <c r="M11" s="9"/>
      <c r="N11" s="9"/>
      <c r="O11" s="9"/>
      <c r="P11" s="9"/>
      <c r="Q11" s="9"/>
      <c r="R11" s="9"/>
      <c r="S11" s="9"/>
      <c r="T11" s="9"/>
      <c r="U11" s="9"/>
      <c r="V11" s="9"/>
      <c r="W11" s="9"/>
      <c r="X11" s="9"/>
      <c r="Y11" s="9"/>
      <c r="Z11" s="9"/>
    </row>
    <row r="12" ht="21.75" customHeight="1">
      <c r="B12" s="34" t="s">
        <v>68</v>
      </c>
      <c r="C12" s="60"/>
      <c r="D12" s="60"/>
      <c r="E12" s="60"/>
    </row>
    <row r="13" ht="21.75" customHeight="1">
      <c r="B13" s="41" t="s">
        <v>69</v>
      </c>
      <c r="C13" s="63">
        <v>30000.0</v>
      </c>
      <c r="D13" s="63">
        <v>25000.0</v>
      </c>
      <c r="E13" s="63">
        <v>32000.0</v>
      </c>
    </row>
    <row r="14" ht="21.75" customHeight="1">
      <c r="B14" s="41" t="s">
        <v>70</v>
      </c>
      <c r="C14" s="63">
        <v>8000.0</v>
      </c>
      <c r="D14" s="63">
        <v>7000.0</v>
      </c>
      <c r="E14" s="63">
        <v>6000.0</v>
      </c>
    </row>
    <row r="15" ht="21.75" customHeight="1">
      <c r="B15" s="41" t="s">
        <v>71</v>
      </c>
      <c r="C15" s="60"/>
      <c r="D15" s="60"/>
      <c r="E15" s="60"/>
    </row>
    <row r="16" ht="21.75" customHeight="1">
      <c r="B16" s="77" t="s">
        <v>72</v>
      </c>
      <c r="C16" s="63">
        <v>123.0</v>
      </c>
      <c r="D16" s="63">
        <v>456.0</v>
      </c>
      <c r="E16" s="63">
        <v>789.0</v>
      </c>
    </row>
    <row r="17" ht="21.75" customHeight="1">
      <c r="B17" s="77" t="s">
        <v>73</v>
      </c>
      <c r="C17" s="63">
        <v>0.0</v>
      </c>
      <c r="D17" s="63">
        <v>0.0</v>
      </c>
      <c r="E17" s="63">
        <v>0.0</v>
      </c>
    </row>
    <row r="18" ht="21.75" customHeight="1">
      <c r="B18" s="77" t="s">
        <v>74</v>
      </c>
      <c r="C18" s="63">
        <v>0.0</v>
      </c>
      <c r="D18" s="63">
        <v>0.0</v>
      </c>
      <c r="E18" s="63">
        <v>0.0</v>
      </c>
    </row>
    <row r="19" ht="21.75" customHeight="1">
      <c r="B19" s="77" t="s">
        <v>75</v>
      </c>
      <c r="C19" s="63">
        <v>500.0</v>
      </c>
      <c r="D19" s="63">
        <v>500.0</v>
      </c>
      <c r="E19" s="63">
        <v>500.0</v>
      </c>
    </row>
    <row r="20" ht="21.75" customHeight="1">
      <c r="B20" s="77" t="s">
        <v>76</v>
      </c>
      <c r="C20" s="63">
        <v>123.0</v>
      </c>
      <c r="D20" s="63">
        <v>532.0</v>
      </c>
      <c r="E20" s="63">
        <v>678.0</v>
      </c>
    </row>
    <row r="21" ht="21.75" customHeight="1">
      <c r="B21" s="77" t="s">
        <v>76</v>
      </c>
      <c r="C21" s="63">
        <v>0.0</v>
      </c>
      <c r="D21" s="63">
        <v>0.0</v>
      </c>
      <c r="E21" s="63">
        <v>0.0</v>
      </c>
    </row>
    <row r="22" ht="21.75" customHeight="1">
      <c r="B22" s="80" t="s">
        <v>77</v>
      </c>
      <c r="C22" s="82">
        <f t="shared" ref="C22:E22" si="6">SUM(C16:C21)</f>
        <v>746</v>
      </c>
      <c r="D22" s="84">
        <f t="shared" si="6"/>
        <v>1488</v>
      </c>
      <c r="E22" s="85">
        <f t="shared" si="6"/>
        <v>1967</v>
      </c>
    </row>
    <row r="23" ht="21.75" customHeight="1">
      <c r="B23" s="41" t="s">
        <v>79</v>
      </c>
      <c r="C23" s="60"/>
      <c r="D23" s="60"/>
      <c r="E23" s="60"/>
    </row>
    <row r="24" ht="21.75" customHeight="1">
      <c r="B24" s="77" t="s">
        <v>80</v>
      </c>
      <c r="C24" s="63">
        <v>15000.0</v>
      </c>
      <c r="D24" s="63">
        <v>15000.0</v>
      </c>
      <c r="E24" s="63">
        <v>15000.0</v>
      </c>
    </row>
    <row r="25" ht="21.75" customHeight="1">
      <c r="B25" s="77" t="s">
        <v>81</v>
      </c>
      <c r="C25" s="63">
        <v>2200.0</v>
      </c>
      <c r="D25" s="63">
        <v>2500.0</v>
      </c>
      <c r="E25" s="63">
        <v>2600.0</v>
      </c>
    </row>
    <row r="26" ht="21.75" customHeight="1">
      <c r="B26" s="77" t="s">
        <v>76</v>
      </c>
      <c r="C26" s="63">
        <v>0.0</v>
      </c>
      <c r="D26" s="63">
        <v>0.0</v>
      </c>
      <c r="E26" s="63">
        <v>0.0</v>
      </c>
    </row>
    <row r="27" ht="21.75" customHeight="1">
      <c r="B27" s="77" t="s">
        <v>76</v>
      </c>
      <c r="C27" s="63">
        <v>0.0</v>
      </c>
      <c r="D27" s="63">
        <v>0.0</v>
      </c>
      <c r="E27" s="63">
        <v>0.0</v>
      </c>
    </row>
    <row r="28" ht="21.75" customHeight="1">
      <c r="B28" s="80" t="s">
        <v>82</v>
      </c>
      <c r="C28" s="82">
        <f t="shared" ref="C28:E28" si="7">SUM(C24:C27)</f>
        <v>17200</v>
      </c>
      <c r="D28" s="84">
        <f t="shared" si="7"/>
        <v>17500</v>
      </c>
      <c r="E28" s="85">
        <f t="shared" si="7"/>
        <v>17600</v>
      </c>
    </row>
    <row r="29" ht="21.75" customHeight="1">
      <c r="B29" s="41" t="s">
        <v>83</v>
      </c>
      <c r="C29" s="63">
        <v>0.0</v>
      </c>
      <c r="D29" s="63">
        <v>0.0</v>
      </c>
      <c r="E29" s="63">
        <v>0.0</v>
      </c>
    </row>
    <row r="30" ht="21.75" customHeight="1">
      <c r="B30" s="41" t="s">
        <v>84</v>
      </c>
      <c r="C30" s="63">
        <v>0.0</v>
      </c>
      <c r="D30" s="63">
        <v>0.0</v>
      </c>
      <c r="E30" s="63">
        <v>0.0</v>
      </c>
    </row>
    <row r="31" ht="21.75" customHeight="1">
      <c r="B31" s="89" t="s">
        <v>85</v>
      </c>
      <c r="C31" s="92">
        <f t="shared" ref="C31:E31" si="8">SUM(C13,C14,C22,C28,C29,C30)</f>
        <v>55946</v>
      </c>
      <c r="D31" s="94">
        <f t="shared" si="8"/>
        <v>50988</v>
      </c>
      <c r="E31" s="96">
        <f t="shared" si="8"/>
        <v>57567</v>
      </c>
    </row>
    <row r="32" ht="21.75" customHeight="1">
      <c r="B32" s="34" t="s">
        <v>86</v>
      </c>
      <c r="C32" s="60"/>
      <c r="D32" s="60"/>
      <c r="E32" s="60"/>
    </row>
    <row r="33" ht="21.75" customHeight="1">
      <c r="B33" s="41" t="s">
        <v>87</v>
      </c>
      <c r="C33" s="63">
        <v>1000.0</v>
      </c>
      <c r="D33" s="63">
        <v>1000.0</v>
      </c>
      <c r="E33" s="63">
        <v>1000.0</v>
      </c>
    </row>
    <row r="34" ht="21.75" customHeight="1">
      <c r="B34" s="41" t="s">
        <v>88</v>
      </c>
      <c r="C34" s="63">
        <v>800.0</v>
      </c>
      <c r="D34" s="63">
        <v>800.0</v>
      </c>
      <c r="E34" s="63">
        <v>800.0</v>
      </c>
    </row>
    <row r="35" ht="21.75" customHeight="1">
      <c r="B35" s="41" t="s">
        <v>89</v>
      </c>
      <c r="C35" s="63">
        <v>0.0</v>
      </c>
      <c r="D35" s="63">
        <v>0.0</v>
      </c>
      <c r="E35" s="63">
        <v>0.0</v>
      </c>
    </row>
    <row r="36" ht="21.75" customHeight="1">
      <c r="B36" s="41" t="s">
        <v>90</v>
      </c>
      <c r="C36" s="63">
        <v>0.0</v>
      </c>
      <c r="D36" s="63">
        <v>0.0</v>
      </c>
      <c r="E36" s="63">
        <v>0.0</v>
      </c>
    </row>
    <row r="37" ht="21.75" customHeight="1">
      <c r="B37" s="41" t="s">
        <v>92</v>
      </c>
      <c r="C37" s="63">
        <v>0.0</v>
      </c>
      <c r="D37" s="63">
        <v>0.0</v>
      </c>
      <c r="E37" s="63">
        <v>0.0</v>
      </c>
    </row>
    <row r="38" ht="21.75" customHeight="1">
      <c r="B38" s="41" t="s">
        <v>76</v>
      </c>
      <c r="C38" s="63">
        <v>0.0</v>
      </c>
      <c r="D38" s="63">
        <v>0.0</v>
      </c>
      <c r="E38" s="63">
        <v>0.0</v>
      </c>
    </row>
    <row r="39" ht="21.75" customHeight="1">
      <c r="B39" s="41" t="s">
        <v>76</v>
      </c>
      <c r="C39" s="63">
        <v>0.0</v>
      </c>
      <c r="D39" s="63">
        <v>0.0</v>
      </c>
      <c r="E39" s="63">
        <v>0.0</v>
      </c>
    </row>
    <row r="40" ht="21.75" customHeight="1">
      <c r="B40" s="41" t="s">
        <v>76</v>
      </c>
      <c r="C40" s="63">
        <v>0.0</v>
      </c>
      <c r="D40" s="63">
        <v>0.0</v>
      </c>
      <c r="E40" s="63">
        <v>0.0</v>
      </c>
    </row>
    <row r="41" ht="21.75" customHeight="1">
      <c r="B41" s="89" t="s">
        <v>93</v>
      </c>
      <c r="C41" s="92">
        <f t="shared" ref="C41:E41" si="9">SUM(C33:C40)</f>
        <v>1800</v>
      </c>
      <c r="D41" s="94">
        <f t="shared" si="9"/>
        <v>1800</v>
      </c>
      <c r="E41" s="96">
        <f t="shared" si="9"/>
        <v>1800</v>
      </c>
    </row>
    <row r="42" ht="21.75" customHeight="1">
      <c r="B42" s="89" t="s">
        <v>94</v>
      </c>
      <c r="C42" s="92">
        <f t="shared" ref="C42:E42" si="10">SUM(C31,C41)</f>
        <v>57746</v>
      </c>
      <c r="D42" s="94">
        <f t="shared" si="10"/>
        <v>52788</v>
      </c>
      <c r="E42" s="96">
        <f t="shared" si="10"/>
        <v>59367</v>
      </c>
    </row>
    <row r="43" ht="45.0" customHeight="1">
      <c r="B43" s="10" t="s">
        <v>95</v>
      </c>
      <c r="C43" s="12"/>
      <c r="D43" s="12"/>
      <c r="E43" s="12"/>
      <c r="F43" s="12"/>
    </row>
    <row r="44" ht="31.5" customHeight="1">
      <c r="A44" s="9"/>
      <c r="B44" s="70"/>
      <c r="C44" s="71" t="s">
        <v>12</v>
      </c>
      <c r="D44" s="72" t="s">
        <v>13</v>
      </c>
      <c r="E44" s="74" t="s">
        <v>14</v>
      </c>
      <c r="F44" s="9"/>
      <c r="G44" s="9"/>
      <c r="H44" s="9"/>
      <c r="I44" s="9"/>
      <c r="J44" s="9"/>
      <c r="K44" s="9"/>
      <c r="L44" s="9"/>
      <c r="M44" s="9"/>
      <c r="N44" s="9"/>
      <c r="O44" s="9"/>
      <c r="P44" s="9"/>
      <c r="Q44" s="9"/>
      <c r="R44" s="9"/>
      <c r="S44" s="9"/>
      <c r="T44" s="9"/>
      <c r="U44" s="9"/>
      <c r="V44" s="9"/>
      <c r="W44" s="9"/>
      <c r="X44" s="9"/>
      <c r="Y44" s="9"/>
      <c r="Z44" s="9"/>
    </row>
    <row r="45" ht="21.75" customHeight="1">
      <c r="B45" s="34" t="s">
        <v>96</v>
      </c>
      <c r="C45" s="60"/>
      <c r="D45" s="60"/>
      <c r="E45" s="60"/>
    </row>
    <row r="46" ht="21.75" customHeight="1">
      <c r="B46" s="41" t="s">
        <v>97</v>
      </c>
      <c r="C46" s="63">
        <v>0.0</v>
      </c>
      <c r="D46" s="63">
        <v>0.0</v>
      </c>
      <c r="E46" s="63">
        <v>0.0</v>
      </c>
    </row>
    <row r="47" ht="21.75" customHeight="1">
      <c r="B47" s="41" t="s">
        <v>98</v>
      </c>
      <c r="C47" s="63">
        <v>12000.0</v>
      </c>
      <c r="D47" s="63">
        <v>9000.0</v>
      </c>
      <c r="E47" s="63">
        <v>7500.0</v>
      </c>
    </row>
    <row r="48" ht="21.75" customHeight="1">
      <c r="B48" s="41" t="s">
        <v>99</v>
      </c>
      <c r="C48" s="63">
        <v>0.0</v>
      </c>
      <c r="D48" s="63">
        <v>0.0</v>
      </c>
      <c r="E48" s="63">
        <v>0.0</v>
      </c>
    </row>
    <row r="49" ht="21.75" customHeight="1">
      <c r="B49" s="41" t="s">
        <v>100</v>
      </c>
      <c r="C49" s="63">
        <v>0.0</v>
      </c>
      <c r="D49" s="63">
        <v>0.0</v>
      </c>
      <c r="E49" s="63">
        <v>0.0</v>
      </c>
    </row>
    <row r="50" ht="21.75" customHeight="1">
      <c r="B50" s="41" t="s">
        <v>101</v>
      </c>
      <c r="C50" s="63">
        <v>0.0</v>
      </c>
      <c r="D50" s="63">
        <v>0.0</v>
      </c>
      <c r="E50" s="63">
        <v>0.0</v>
      </c>
    </row>
    <row r="51" ht="21.75" customHeight="1">
      <c r="B51" s="41" t="s">
        <v>102</v>
      </c>
      <c r="C51" s="63">
        <v>0.0</v>
      </c>
      <c r="D51" s="63">
        <v>0.0</v>
      </c>
      <c r="E51" s="63">
        <v>0.0</v>
      </c>
    </row>
    <row r="52" ht="21.75" customHeight="1">
      <c r="B52" s="41" t="s">
        <v>75</v>
      </c>
      <c r="C52" s="63">
        <v>0.0</v>
      </c>
      <c r="D52" s="63">
        <v>0.0</v>
      </c>
      <c r="E52" s="63">
        <v>0.0</v>
      </c>
    </row>
    <row r="53" ht="21.75" customHeight="1">
      <c r="B53" s="41" t="s">
        <v>76</v>
      </c>
      <c r="C53" s="63">
        <v>0.0</v>
      </c>
      <c r="D53" s="63">
        <v>0.0</v>
      </c>
      <c r="E53" s="63">
        <v>0.0</v>
      </c>
    </row>
    <row r="54" ht="21.75" customHeight="1">
      <c r="B54" s="41" t="s">
        <v>76</v>
      </c>
      <c r="C54" s="63">
        <v>0.0</v>
      </c>
      <c r="D54" s="63">
        <v>0.0</v>
      </c>
      <c r="E54" s="63">
        <v>0.0</v>
      </c>
    </row>
    <row r="55" ht="21.75" customHeight="1">
      <c r="B55" s="41" t="s">
        <v>76</v>
      </c>
      <c r="C55" s="63">
        <v>0.0</v>
      </c>
      <c r="D55" s="63">
        <v>0.0</v>
      </c>
      <c r="E55" s="63">
        <v>0.0</v>
      </c>
    </row>
    <row r="56" ht="21.75" customHeight="1">
      <c r="B56" s="89" t="s">
        <v>103</v>
      </c>
      <c r="C56" s="92">
        <f t="shared" ref="C56:E56" si="11">SUM(C46:C55)</f>
        <v>12000</v>
      </c>
      <c r="D56" s="94">
        <f t="shared" si="11"/>
        <v>9000</v>
      </c>
      <c r="E56" s="96">
        <f t="shared" si="11"/>
        <v>7500</v>
      </c>
    </row>
    <row r="57" ht="21.75" customHeight="1">
      <c r="B57" s="34" t="s">
        <v>104</v>
      </c>
      <c r="C57" s="60"/>
      <c r="D57" s="60"/>
      <c r="E57" s="60"/>
    </row>
    <row r="58" ht="21.75" customHeight="1">
      <c r="B58" s="41" t="s">
        <v>105</v>
      </c>
      <c r="C58" s="63">
        <v>35000.0</v>
      </c>
      <c r="D58" s="63">
        <v>33000.0</v>
      </c>
      <c r="E58" s="63">
        <v>30000.0</v>
      </c>
    </row>
    <row r="59" ht="21.75" customHeight="1">
      <c r="B59" s="41" t="s">
        <v>106</v>
      </c>
      <c r="C59" s="63">
        <v>0.0</v>
      </c>
      <c r="D59" s="63">
        <v>0.0</v>
      </c>
      <c r="E59" s="63">
        <v>0.0</v>
      </c>
    </row>
    <row r="60" ht="21.75" customHeight="1">
      <c r="B60" s="41" t="s">
        <v>107</v>
      </c>
      <c r="C60" s="63">
        <v>0.0</v>
      </c>
      <c r="D60" s="63">
        <v>0.0</v>
      </c>
      <c r="E60" s="63">
        <v>0.0</v>
      </c>
    </row>
    <row r="61" ht="21.75" customHeight="1">
      <c r="B61" s="41" t="s">
        <v>76</v>
      </c>
      <c r="C61" s="63">
        <v>0.0</v>
      </c>
      <c r="D61" s="63">
        <v>0.0</v>
      </c>
      <c r="E61" s="63">
        <v>0.0</v>
      </c>
    </row>
    <row r="62" ht="21.75" customHeight="1">
      <c r="B62" s="41" t="s">
        <v>76</v>
      </c>
      <c r="C62" s="63">
        <v>0.0</v>
      </c>
      <c r="D62" s="63">
        <v>0.0</v>
      </c>
      <c r="E62" s="63">
        <v>0.0</v>
      </c>
    </row>
    <row r="63" ht="21.75" customHeight="1">
      <c r="B63" s="41" t="s">
        <v>76</v>
      </c>
      <c r="C63" s="63">
        <v>0.0</v>
      </c>
      <c r="D63" s="63">
        <v>0.0</v>
      </c>
      <c r="E63" s="63">
        <v>0.0</v>
      </c>
    </row>
    <row r="64" ht="21.75" customHeight="1">
      <c r="B64" s="89" t="s">
        <v>108</v>
      </c>
      <c r="C64" s="92">
        <f t="shared" ref="C64:E64" si="12">SUM(C58:C63)</f>
        <v>35000</v>
      </c>
      <c r="D64" s="94">
        <f t="shared" si="12"/>
        <v>33000</v>
      </c>
      <c r="E64" s="96">
        <f t="shared" si="12"/>
        <v>30000</v>
      </c>
    </row>
    <row r="65" ht="21.75" customHeight="1">
      <c r="B65" s="110" t="s">
        <v>109</v>
      </c>
      <c r="C65" s="92">
        <f t="shared" ref="C65:E65" si="13">SUM(C56,C64)</f>
        <v>47000</v>
      </c>
      <c r="D65" s="94">
        <f t="shared" si="13"/>
        <v>42000</v>
      </c>
      <c r="E65" s="96">
        <f t="shared" si="13"/>
        <v>37500</v>
      </c>
    </row>
    <row r="66" ht="9.75" customHeight="1"/>
    <row r="67" ht="54.0" customHeight="1">
      <c r="B67" s="112" t="s">
        <v>111</v>
      </c>
      <c r="C67" s="92">
        <f t="shared" ref="C67:E67" si="14">C42-C65</f>
        <v>10746</v>
      </c>
      <c r="D67" s="94">
        <f t="shared" si="14"/>
        <v>10788</v>
      </c>
      <c r="E67" s="96">
        <f t="shared" si="14"/>
        <v>21867</v>
      </c>
    </row>
    <row r="68" ht="45.0" customHeight="1">
      <c r="B68" s="10" t="s">
        <v>112</v>
      </c>
      <c r="C68" s="7"/>
      <c r="D68" s="7"/>
      <c r="E68" s="7"/>
      <c r="F68" s="12"/>
    </row>
    <row r="69" ht="31.5" customHeight="1">
      <c r="A69" s="9"/>
      <c r="B69" s="114" t="s">
        <v>113</v>
      </c>
      <c r="C69" s="115" t="s">
        <v>12</v>
      </c>
      <c r="D69" s="116" t="s">
        <v>13</v>
      </c>
      <c r="E69" s="118" t="s">
        <v>14</v>
      </c>
      <c r="F69" s="9"/>
      <c r="G69" s="9"/>
      <c r="H69" s="9"/>
      <c r="I69" s="9"/>
      <c r="J69" s="9"/>
      <c r="K69" s="9"/>
      <c r="L69" s="9"/>
      <c r="M69" s="9"/>
      <c r="N69" s="9"/>
      <c r="O69" s="9"/>
      <c r="P69" s="9"/>
      <c r="Q69" s="9"/>
      <c r="R69" s="9"/>
      <c r="S69" s="9"/>
      <c r="T69" s="9"/>
      <c r="U69" s="9"/>
      <c r="V69" s="9"/>
      <c r="W69" s="9"/>
      <c r="X69" s="9"/>
      <c r="Y69" s="9"/>
      <c r="Z69" s="9"/>
    </row>
    <row r="70" ht="18.0" customHeight="1">
      <c r="B70" s="120" t="s">
        <v>116</v>
      </c>
      <c r="C70" s="63">
        <v>50000.0</v>
      </c>
      <c r="D70" s="63">
        <v>60000.0</v>
      </c>
      <c r="E70" s="63">
        <v>45000.0</v>
      </c>
    </row>
    <row r="71" ht="18.0" customHeight="1">
      <c r="B71" s="120" t="s">
        <v>117</v>
      </c>
      <c r="C71" s="63">
        <v>0.0</v>
      </c>
      <c r="D71" s="63">
        <v>0.0</v>
      </c>
      <c r="E71" s="63">
        <v>0.0</v>
      </c>
    </row>
    <row r="72" ht="18.0" customHeight="1">
      <c r="B72" s="120" t="s">
        <v>118</v>
      </c>
      <c r="C72" s="63">
        <v>0.0</v>
      </c>
      <c r="D72" s="63">
        <v>0.0</v>
      </c>
      <c r="E72" s="63">
        <v>0.0</v>
      </c>
    </row>
    <row r="73" ht="18.0" customHeight="1">
      <c r="B73" s="120" t="s">
        <v>76</v>
      </c>
      <c r="C73" s="63">
        <v>0.0</v>
      </c>
      <c r="D73" s="63">
        <v>0.0</v>
      </c>
      <c r="E73" s="63">
        <v>0.0</v>
      </c>
    </row>
    <row r="74" ht="21.75" customHeight="1">
      <c r="B74" s="110" t="s">
        <v>94</v>
      </c>
      <c r="C74" s="92">
        <f t="shared" ref="C74:E74" si="15">SUM(C70:C73)</f>
        <v>50000</v>
      </c>
      <c r="D74" s="123">
        <f t="shared" si="15"/>
        <v>60000</v>
      </c>
      <c r="E74" s="96">
        <f t="shared" si="15"/>
        <v>45000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25" footer="0.0" header="0.0" left="0.25" right="0.25" top="0.25"/>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F0F3"/>
    <pageSetUpPr fitToPage="1"/>
  </sheetPr>
  <sheetViews>
    <sheetView showGridLines="0" workbookViewId="0"/>
  </sheetViews>
  <sheetFormatPr customHeight="1" defaultColWidth="11.22" defaultRowHeight="15.0"/>
  <cols>
    <col customWidth="1" min="1" max="1" width="3.11"/>
    <col customWidth="1" min="2" max="2" width="55.33"/>
    <col customWidth="1" min="3" max="3" width="15.67"/>
    <col customWidth="1" min="4" max="4" width="3.33"/>
    <col customWidth="1" min="5" max="5" width="19.44"/>
    <col customWidth="1" min="6" max="26" width="11.0"/>
  </cols>
  <sheetData>
    <row r="1" ht="49.5" customHeight="1">
      <c r="A1" s="1" t="s">
        <v>0</v>
      </c>
      <c r="B1" s="3" t="s">
        <v>1</v>
      </c>
      <c r="C1" s="1"/>
      <c r="D1" s="4"/>
      <c r="E1" s="1"/>
      <c r="F1" s="1"/>
      <c r="G1" s="1"/>
      <c r="H1" s="1"/>
      <c r="I1" s="1"/>
      <c r="J1" s="1"/>
      <c r="K1" s="1"/>
      <c r="L1" s="1"/>
      <c r="M1" s="1"/>
      <c r="N1" s="1"/>
      <c r="O1" s="1"/>
      <c r="P1" s="1"/>
      <c r="Q1" s="1"/>
      <c r="R1" s="1"/>
      <c r="S1" s="1"/>
      <c r="T1" s="1"/>
      <c r="U1" s="1"/>
      <c r="V1" s="1"/>
      <c r="W1" s="1"/>
      <c r="X1" s="1"/>
      <c r="Y1" s="1"/>
      <c r="Z1" s="1"/>
    </row>
    <row r="2" ht="21.75" customHeight="1">
      <c r="B2" s="7" t="s">
        <v>5</v>
      </c>
    </row>
    <row r="3" ht="31.5" customHeight="1">
      <c r="A3" s="9"/>
      <c r="B3" s="11" t="s">
        <v>8</v>
      </c>
      <c r="C3" s="13">
        <v>30000.0</v>
      </c>
      <c r="D3" s="9"/>
      <c r="E3" s="15"/>
      <c r="F3" s="9"/>
      <c r="G3" s="9"/>
      <c r="H3" s="9"/>
      <c r="I3" s="9"/>
      <c r="J3" s="9"/>
      <c r="K3" s="9"/>
      <c r="L3" s="9"/>
      <c r="M3" s="9"/>
      <c r="N3" s="9"/>
      <c r="O3" s="9"/>
      <c r="P3" s="9"/>
      <c r="Q3" s="9"/>
      <c r="R3" s="9"/>
      <c r="S3" s="9"/>
      <c r="T3" s="9"/>
      <c r="U3" s="9"/>
      <c r="V3" s="9"/>
      <c r="W3" s="9"/>
      <c r="X3" s="9"/>
      <c r="Y3" s="9"/>
      <c r="Z3" s="9"/>
    </row>
    <row r="4" ht="31.5" customHeight="1">
      <c r="A4" s="9"/>
      <c r="B4" s="11" t="s">
        <v>11</v>
      </c>
      <c r="C4" s="25">
        <f>SUM(C17,C25,C34)</f>
        <v>39850</v>
      </c>
      <c r="D4" s="9"/>
      <c r="E4" s="9"/>
      <c r="F4" s="9"/>
      <c r="G4" s="9"/>
      <c r="H4" s="9"/>
      <c r="I4" s="9"/>
      <c r="J4" s="9"/>
      <c r="K4" s="9"/>
      <c r="L4" s="9"/>
      <c r="M4" s="9"/>
      <c r="N4" s="9"/>
      <c r="O4" s="9"/>
      <c r="P4" s="9"/>
      <c r="Q4" s="9"/>
      <c r="R4" s="9"/>
      <c r="S4" s="9"/>
      <c r="T4" s="9"/>
      <c r="U4" s="9"/>
      <c r="V4" s="9"/>
      <c r="W4" s="9"/>
      <c r="X4" s="9"/>
      <c r="Y4" s="9"/>
      <c r="Z4" s="9"/>
    </row>
    <row r="5" ht="31.5" customHeight="1">
      <c r="A5" s="9"/>
      <c r="B5" s="11" t="s">
        <v>22</v>
      </c>
      <c r="C5" s="25">
        <f>SUM(C3:C4)</f>
        <v>69850</v>
      </c>
      <c r="D5" s="9"/>
      <c r="E5" s="9"/>
      <c r="F5" s="9"/>
      <c r="G5" s="9"/>
      <c r="H5" s="9"/>
      <c r="I5" s="9"/>
      <c r="J5" s="9"/>
      <c r="K5" s="9"/>
      <c r="L5" s="9"/>
      <c r="M5" s="9"/>
      <c r="N5" s="9"/>
      <c r="O5" s="9"/>
      <c r="P5" s="9"/>
      <c r="Q5" s="9"/>
      <c r="R5" s="9"/>
      <c r="S5" s="9"/>
      <c r="T5" s="9"/>
      <c r="U5" s="9"/>
      <c r="V5" s="9"/>
      <c r="W5" s="9"/>
      <c r="X5" s="9"/>
      <c r="Y5" s="9"/>
      <c r="Z5" s="9"/>
    </row>
    <row r="6" ht="45.0" customHeight="1">
      <c r="B6" s="10" t="s">
        <v>25</v>
      </c>
      <c r="C6" s="7"/>
      <c r="D6" s="7"/>
      <c r="E6" s="7"/>
      <c r="F6" s="7"/>
    </row>
    <row r="7" ht="21.75" customHeight="1">
      <c r="B7" s="34" t="s">
        <v>29</v>
      </c>
      <c r="C7" s="36"/>
      <c r="D7" s="38"/>
    </row>
    <row r="8" ht="21.75" customHeight="1">
      <c r="B8" s="41" t="s">
        <v>34</v>
      </c>
      <c r="C8" s="44">
        <v>18500.0</v>
      </c>
    </row>
    <row r="9" ht="21.75" customHeight="1">
      <c r="B9" s="41" t="s">
        <v>36</v>
      </c>
      <c r="C9" s="44">
        <v>15000.0</v>
      </c>
    </row>
    <row r="10" ht="21.75" customHeight="1">
      <c r="B10" s="34" t="s">
        <v>37</v>
      </c>
      <c r="C10" s="36"/>
    </row>
    <row r="11" ht="21.75" customHeight="1">
      <c r="B11" s="41" t="s">
        <v>38</v>
      </c>
      <c r="C11" s="44">
        <v>2500.0</v>
      </c>
    </row>
    <row r="12" ht="21.75" customHeight="1">
      <c r="B12" s="34" t="s">
        <v>39</v>
      </c>
      <c r="C12" s="36"/>
    </row>
    <row r="13" ht="21.75" customHeight="1">
      <c r="B13" s="41" t="s">
        <v>40</v>
      </c>
      <c r="C13" s="44">
        <v>1000.0</v>
      </c>
    </row>
    <row r="14" ht="21.75" customHeight="1">
      <c r="B14" s="41" t="s">
        <v>41</v>
      </c>
      <c r="C14" s="44">
        <v>850.0</v>
      </c>
    </row>
    <row r="15" ht="21.75" customHeight="1">
      <c r="B15" s="34" t="s">
        <v>42</v>
      </c>
      <c r="C15" s="36"/>
    </row>
    <row r="16" ht="21.75" customHeight="1">
      <c r="B16" s="41" t="s">
        <v>43</v>
      </c>
      <c r="C16" s="44">
        <v>2000.0</v>
      </c>
    </row>
    <row r="17" ht="21.75" customHeight="1">
      <c r="A17" s="49"/>
      <c r="B17" s="51" t="s">
        <v>45</v>
      </c>
      <c r="C17" s="55">
        <f>SUM(C8:C16)</f>
        <v>39850</v>
      </c>
      <c r="D17" s="49"/>
      <c r="E17" s="49"/>
      <c r="F17" s="49"/>
      <c r="G17" s="49"/>
      <c r="H17" s="49"/>
      <c r="I17" s="49"/>
      <c r="J17" s="49"/>
      <c r="K17" s="49"/>
      <c r="L17" s="49"/>
      <c r="M17" s="49"/>
      <c r="N17" s="49"/>
      <c r="O17" s="49"/>
      <c r="P17" s="49"/>
      <c r="Q17" s="49"/>
      <c r="R17" s="49"/>
      <c r="S17" s="49"/>
      <c r="T17" s="49"/>
      <c r="U17" s="49"/>
      <c r="V17" s="49"/>
      <c r="W17" s="49"/>
      <c r="X17" s="49"/>
      <c r="Y17" s="49"/>
      <c r="Z17" s="49"/>
    </row>
    <row r="18" ht="45.0" customHeight="1">
      <c r="B18" s="10" t="s">
        <v>46</v>
      </c>
      <c r="C18" s="7"/>
      <c r="D18" s="7"/>
      <c r="E18" s="7"/>
      <c r="F18" s="7"/>
    </row>
    <row r="19" ht="21.75" customHeight="1">
      <c r="B19" s="34" t="s">
        <v>47</v>
      </c>
      <c r="C19" s="60"/>
      <c r="D19" s="38"/>
    </row>
    <row r="20" ht="21.75" customHeight="1">
      <c r="B20" s="41" t="s">
        <v>49</v>
      </c>
      <c r="C20" s="63">
        <v>0.0</v>
      </c>
    </row>
    <row r="21" ht="21.75" customHeight="1">
      <c r="B21" s="41" t="s">
        <v>51</v>
      </c>
      <c r="C21" s="63">
        <v>0.0</v>
      </c>
    </row>
    <row r="22" ht="21.75" customHeight="1">
      <c r="B22" s="34" t="s">
        <v>52</v>
      </c>
      <c r="C22" s="60"/>
    </row>
    <row r="23" ht="21.75" customHeight="1">
      <c r="B23" s="41" t="s">
        <v>53</v>
      </c>
      <c r="C23" s="63">
        <v>0.0</v>
      </c>
    </row>
    <row r="24" ht="21.75" customHeight="1">
      <c r="B24" s="41" t="s">
        <v>54</v>
      </c>
      <c r="C24" s="63">
        <v>0.0</v>
      </c>
    </row>
    <row r="25" ht="21.75" customHeight="1">
      <c r="B25" s="51" t="s">
        <v>55</v>
      </c>
      <c r="C25" s="55">
        <f>SUM(C19:C24)</f>
        <v>0</v>
      </c>
    </row>
    <row r="26" ht="45.0" customHeight="1">
      <c r="B26" s="10" t="s">
        <v>56</v>
      </c>
      <c r="C26" s="7"/>
      <c r="D26" s="7"/>
      <c r="E26" s="7"/>
      <c r="F26" s="7"/>
    </row>
    <row r="27" ht="21.75" customHeight="1">
      <c r="B27" s="34" t="s">
        <v>57</v>
      </c>
      <c r="C27" s="60"/>
    </row>
    <row r="28" ht="21.75" customHeight="1">
      <c r="B28" s="41" t="s">
        <v>58</v>
      </c>
      <c r="C28" s="63">
        <v>0.0</v>
      </c>
    </row>
    <row r="29" ht="21.75" customHeight="1">
      <c r="B29" s="41" t="s">
        <v>59</v>
      </c>
      <c r="C29" s="63">
        <v>0.0</v>
      </c>
    </row>
    <row r="30" ht="21.75" customHeight="1">
      <c r="B30" s="41" t="s">
        <v>60</v>
      </c>
      <c r="C30" s="63">
        <v>0.0</v>
      </c>
    </row>
    <row r="31" ht="21.75" customHeight="1">
      <c r="B31" s="34" t="s">
        <v>61</v>
      </c>
      <c r="C31" s="60"/>
    </row>
    <row r="32" ht="21.75" customHeight="1">
      <c r="B32" s="41" t="s">
        <v>63</v>
      </c>
      <c r="C32" s="63">
        <v>0.0</v>
      </c>
    </row>
    <row r="33" ht="21.75" customHeight="1">
      <c r="B33" s="41" t="s">
        <v>64</v>
      </c>
      <c r="C33" s="63">
        <v>0.0</v>
      </c>
    </row>
    <row r="34" ht="21.75" customHeight="1">
      <c r="B34" s="51" t="s">
        <v>65</v>
      </c>
      <c r="C34" s="55">
        <f>SUM(C27:C33)</f>
        <v>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25" footer="0.0" header="0.0" left="0.25" right="0.25" top="0.2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showGridLines="0" workbookViewId="0"/>
  </sheetViews>
  <sheetFormatPr customHeight="1" defaultColWidth="11.22" defaultRowHeight="15.0"/>
  <cols>
    <col customWidth="1" min="1" max="1" width="3.33"/>
    <col customWidth="1" min="2" max="2" width="33.0"/>
    <col customWidth="1" min="3" max="19" width="15.0"/>
    <col customWidth="1" min="20" max="26" width="11.0"/>
  </cols>
  <sheetData>
    <row r="1" ht="49.5" customHeight="1">
      <c r="A1" s="2" t="s">
        <v>0</v>
      </c>
      <c r="B1" s="4" t="s">
        <v>3</v>
      </c>
      <c r="C1" s="5"/>
      <c r="D1" s="5"/>
      <c r="E1" s="5"/>
      <c r="F1" s="6"/>
      <c r="G1" s="8"/>
      <c r="H1" s="6"/>
      <c r="I1" s="6"/>
      <c r="J1" s="5"/>
      <c r="K1" s="6"/>
      <c r="L1" s="2"/>
      <c r="M1" s="2"/>
      <c r="N1" s="6"/>
      <c r="O1" s="2"/>
      <c r="P1" s="2"/>
      <c r="Q1" s="2"/>
      <c r="R1" s="2"/>
      <c r="S1" s="2"/>
      <c r="T1" s="2"/>
      <c r="U1" s="2"/>
      <c r="V1" s="2"/>
      <c r="W1" s="2"/>
      <c r="X1" s="2"/>
      <c r="Y1" s="2"/>
      <c r="Z1" s="2"/>
    </row>
    <row r="2" ht="24.75" customHeight="1">
      <c r="B2" s="7" t="s">
        <v>9</v>
      </c>
    </row>
    <row r="3" ht="45.0" customHeight="1">
      <c r="B3" s="14" t="s">
        <v>10</v>
      </c>
      <c r="C3" s="12"/>
      <c r="D3" s="12"/>
      <c r="E3" s="12"/>
      <c r="F3" s="12"/>
    </row>
    <row r="4" ht="31.5" customHeight="1">
      <c r="A4" s="17"/>
      <c r="B4" s="21"/>
      <c r="C4" s="22" t="s">
        <v>15</v>
      </c>
      <c r="D4" s="22" t="s">
        <v>16</v>
      </c>
      <c r="E4" s="22" t="s">
        <v>17</v>
      </c>
      <c r="F4" s="24" t="s">
        <v>18</v>
      </c>
      <c r="G4" s="26" t="s">
        <v>19</v>
      </c>
      <c r="H4" s="27" t="s">
        <v>20</v>
      </c>
      <c r="I4" s="27" t="s">
        <v>23</v>
      </c>
      <c r="J4" s="29" t="s">
        <v>13</v>
      </c>
      <c r="K4" s="30" t="s">
        <v>24</v>
      </c>
      <c r="L4" s="31" t="s">
        <v>26</v>
      </c>
      <c r="M4" s="31" t="s">
        <v>27</v>
      </c>
      <c r="N4" s="33" t="s">
        <v>28</v>
      </c>
      <c r="O4" s="35" t="s">
        <v>30</v>
      </c>
      <c r="P4" s="37" t="s">
        <v>31</v>
      </c>
      <c r="Q4" s="37" t="s">
        <v>32</v>
      </c>
      <c r="R4" s="39" t="s">
        <v>14</v>
      </c>
      <c r="S4" s="40" t="s">
        <v>33</v>
      </c>
      <c r="T4" s="17"/>
      <c r="U4" s="17"/>
      <c r="V4" s="17"/>
      <c r="W4" s="17"/>
      <c r="X4" s="17"/>
      <c r="Y4" s="17"/>
      <c r="Z4" s="17"/>
    </row>
    <row r="5" ht="36.0" customHeight="1">
      <c r="B5" s="43" t="s">
        <v>35</v>
      </c>
      <c r="C5" s="45">
        <f t="shared" ref="C5:E5" si="1">C35</f>
        <v>0</v>
      </c>
      <c r="D5" s="45">
        <f t="shared" si="1"/>
        <v>0</v>
      </c>
      <c r="E5" s="45">
        <f t="shared" si="1"/>
        <v>0</v>
      </c>
      <c r="F5" s="47">
        <f t="shared" ref="F5:F7" si="6">SUM(C5:E5)</f>
        <v>0</v>
      </c>
      <c r="G5" s="48">
        <f t="shared" ref="G5:I5" si="2">G35</f>
        <v>0</v>
      </c>
      <c r="H5" s="48">
        <f t="shared" si="2"/>
        <v>0</v>
      </c>
      <c r="I5" s="48">
        <f t="shared" si="2"/>
        <v>0</v>
      </c>
      <c r="J5" s="50">
        <f t="shared" ref="J5:J7" si="8">SUM(G5:I5)</f>
        <v>0</v>
      </c>
      <c r="K5" s="52">
        <f t="shared" ref="K5:M5" si="3">K35</f>
        <v>0</v>
      </c>
      <c r="L5" s="52">
        <f t="shared" si="3"/>
        <v>0</v>
      </c>
      <c r="M5" s="52">
        <f t="shared" si="3"/>
        <v>0</v>
      </c>
      <c r="N5" s="54">
        <f t="shared" ref="N5:N7" si="10">SUM(K5:M5)</f>
        <v>0</v>
      </c>
      <c r="O5" s="57">
        <f t="shared" ref="O5:Q5" si="4">O35</f>
        <v>0</v>
      </c>
      <c r="P5" s="57">
        <f t="shared" si="4"/>
        <v>0</v>
      </c>
      <c r="Q5" s="57">
        <f t="shared" si="4"/>
        <v>0</v>
      </c>
      <c r="R5" s="59">
        <f t="shared" ref="R5:R7" si="12">SUM(O5:Q5)</f>
        <v>0</v>
      </c>
      <c r="S5" s="61">
        <f t="shared" ref="S5:S7" si="13">SUM(F5,J5,N5,R5)</f>
        <v>0</v>
      </c>
    </row>
    <row r="6" ht="36.0" customHeight="1">
      <c r="B6" s="65" t="s">
        <v>50</v>
      </c>
      <c r="C6" s="67">
        <f t="shared" ref="C6:E6" si="5">C139</f>
        <v>0</v>
      </c>
      <c r="D6" s="67">
        <f t="shared" si="5"/>
        <v>0</v>
      </c>
      <c r="E6" s="67">
        <f t="shared" si="5"/>
        <v>0</v>
      </c>
      <c r="F6" s="68">
        <f t="shared" si="6"/>
        <v>0</v>
      </c>
      <c r="G6" s="69">
        <f t="shared" ref="G6:I6" si="7">G139</f>
        <v>0</v>
      </c>
      <c r="H6" s="69">
        <f t="shared" si="7"/>
        <v>0</v>
      </c>
      <c r="I6" s="69">
        <f t="shared" si="7"/>
        <v>0</v>
      </c>
      <c r="J6" s="73">
        <f t="shared" si="8"/>
        <v>0</v>
      </c>
      <c r="K6" s="75">
        <f t="shared" ref="K6:M6" si="9">K139</f>
        <v>0</v>
      </c>
      <c r="L6" s="75">
        <f t="shared" si="9"/>
        <v>0</v>
      </c>
      <c r="M6" s="75">
        <f t="shared" si="9"/>
        <v>0</v>
      </c>
      <c r="N6" s="76">
        <f t="shared" si="10"/>
        <v>0</v>
      </c>
      <c r="O6" s="78">
        <f t="shared" ref="O6:Q6" si="11">O139</f>
        <v>0</v>
      </c>
      <c r="P6" s="78">
        <f t="shared" si="11"/>
        <v>0</v>
      </c>
      <c r="Q6" s="78">
        <f t="shared" si="11"/>
        <v>0</v>
      </c>
      <c r="R6" s="79">
        <f t="shared" si="12"/>
        <v>0</v>
      </c>
      <c r="S6" s="81">
        <f t="shared" si="13"/>
        <v>0</v>
      </c>
    </row>
    <row r="7" ht="36.0" customHeight="1">
      <c r="B7" s="83" t="s">
        <v>78</v>
      </c>
      <c r="C7" s="86">
        <f t="shared" ref="C7:E7" si="14">C5-C6</f>
        <v>0</v>
      </c>
      <c r="D7" s="86">
        <f t="shared" si="14"/>
        <v>0</v>
      </c>
      <c r="E7" s="86">
        <f t="shared" si="14"/>
        <v>0</v>
      </c>
      <c r="F7" s="87">
        <f t="shared" si="6"/>
        <v>0</v>
      </c>
      <c r="G7" s="88">
        <f t="shared" ref="G7:I7" si="15">G5-G6</f>
        <v>0</v>
      </c>
      <c r="H7" s="88">
        <f t="shared" si="15"/>
        <v>0</v>
      </c>
      <c r="I7" s="88">
        <f t="shared" si="15"/>
        <v>0</v>
      </c>
      <c r="J7" s="90">
        <f t="shared" si="8"/>
        <v>0</v>
      </c>
      <c r="K7" s="91">
        <f t="shared" ref="K7:M7" si="16">K5-K6</f>
        <v>0</v>
      </c>
      <c r="L7" s="91">
        <f t="shared" si="16"/>
        <v>0</v>
      </c>
      <c r="M7" s="91">
        <f t="shared" si="16"/>
        <v>0</v>
      </c>
      <c r="N7" s="93">
        <f t="shared" si="10"/>
        <v>0</v>
      </c>
      <c r="O7" s="95">
        <f t="shared" ref="O7:Q7" si="17">O5-O6</f>
        <v>0</v>
      </c>
      <c r="P7" s="95">
        <f t="shared" si="17"/>
        <v>0</v>
      </c>
      <c r="Q7" s="95">
        <f t="shared" si="17"/>
        <v>0</v>
      </c>
      <c r="R7" s="97">
        <f t="shared" si="12"/>
        <v>0</v>
      </c>
      <c r="S7" s="98">
        <f t="shared" si="13"/>
        <v>0</v>
      </c>
    </row>
    <row r="8" ht="36.0" customHeight="1">
      <c r="B8" s="99" t="s">
        <v>91</v>
      </c>
      <c r="C8" s="100">
        <f>C7</f>
        <v>0</v>
      </c>
      <c r="D8" s="100">
        <f t="shared" ref="D8:E8" si="18">C8+D7</f>
        <v>0</v>
      </c>
      <c r="E8" s="100">
        <f t="shared" si="18"/>
        <v>0</v>
      </c>
      <c r="F8" s="101"/>
      <c r="G8" s="102">
        <f>E8+G7</f>
        <v>0</v>
      </c>
      <c r="H8" s="102">
        <f t="shared" ref="H8:I8" si="19">G8+H7</f>
        <v>0</v>
      </c>
      <c r="I8" s="102">
        <f t="shared" si="19"/>
        <v>0</v>
      </c>
      <c r="J8" s="101"/>
      <c r="K8" s="103">
        <f>I8+K7</f>
        <v>0</v>
      </c>
      <c r="L8" s="103">
        <f t="shared" ref="L8:M8" si="20">K8+L7</f>
        <v>0</v>
      </c>
      <c r="M8" s="103">
        <f t="shared" si="20"/>
        <v>0</v>
      </c>
      <c r="N8" s="101"/>
      <c r="O8" s="104">
        <f>M8+O7</f>
        <v>0</v>
      </c>
      <c r="P8" s="104">
        <f t="shared" ref="P8:Q8" si="21">O8+P7</f>
        <v>0</v>
      </c>
      <c r="Q8" s="104">
        <f t="shared" si="21"/>
        <v>0</v>
      </c>
      <c r="R8" s="101"/>
    </row>
    <row r="9" ht="15.0" customHeight="1">
      <c r="A9" s="105"/>
      <c r="B9" s="106"/>
      <c r="C9" s="107"/>
      <c r="D9" s="107"/>
      <c r="E9" s="107"/>
      <c r="F9" s="108"/>
      <c r="G9" s="107"/>
      <c r="H9" s="107"/>
      <c r="I9" s="107"/>
      <c r="J9" s="108"/>
      <c r="K9" s="107"/>
      <c r="L9" s="107"/>
      <c r="M9" s="107"/>
      <c r="N9" s="108"/>
      <c r="O9" s="107"/>
      <c r="P9" s="107"/>
      <c r="Q9" s="107"/>
      <c r="R9" s="108"/>
      <c r="S9" s="109"/>
      <c r="T9" s="105"/>
      <c r="U9" s="105"/>
      <c r="V9" s="105"/>
      <c r="W9" s="105"/>
      <c r="X9" s="105"/>
      <c r="Y9" s="105"/>
      <c r="Z9" s="105"/>
    </row>
    <row r="10" ht="45.0" customHeight="1">
      <c r="B10" s="14" t="s">
        <v>110</v>
      </c>
      <c r="C10" s="12"/>
      <c r="D10" s="12"/>
      <c r="E10" s="12"/>
      <c r="F10" s="12"/>
    </row>
    <row r="11" ht="31.5" customHeight="1">
      <c r="A11" s="17"/>
      <c r="B11" s="21"/>
      <c r="C11" s="22" t="s">
        <v>15</v>
      </c>
      <c r="D11" s="22" t="s">
        <v>16</v>
      </c>
      <c r="E11" s="22" t="s">
        <v>17</v>
      </c>
      <c r="F11" s="111"/>
      <c r="G11" s="27" t="s">
        <v>19</v>
      </c>
      <c r="H11" s="27" t="s">
        <v>20</v>
      </c>
      <c r="I11" s="27" t="s">
        <v>23</v>
      </c>
      <c r="J11" s="111"/>
      <c r="K11" s="31" t="s">
        <v>24</v>
      </c>
      <c r="L11" s="31" t="s">
        <v>26</v>
      </c>
      <c r="M11" s="31" t="s">
        <v>27</v>
      </c>
      <c r="N11" s="111"/>
      <c r="O11" s="37" t="s">
        <v>30</v>
      </c>
      <c r="P11" s="37" t="s">
        <v>31</v>
      </c>
      <c r="Q11" s="37" t="s">
        <v>32</v>
      </c>
      <c r="R11" s="111"/>
      <c r="S11" s="113"/>
      <c r="T11" s="17"/>
      <c r="U11" s="17"/>
      <c r="V11" s="17"/>
      <c r="W11" s="17"/>
      <c r="X11" s="17"/>
      <c r="Y11" s="17"/>
      <c r="Z11" s="17"/>
    </row>
    <row r="12" ht="42.75" customHeight="1">
      <c r="B12" s="117" t="s">
        <v>114</v>
      </c>
      <c r="C12" s="119" t="str">
        <f t="shared" ref="C12:E12" si="22">C5/C28</f>
        <v>#DIV/0!</v>
      </c>
      <c r="D12" s="119" t="str">
        <f t="shared" si="22"/>
        <v>#DIV/0!</v>
      </c>
      <c r="E12" s="119" t="str">
        <f t="shared" si="22"/>
        <v>#DIV/0!</v>
      </c>
      <c r="F12" s="121"/>
      <c r="G12" s="122" t="str">
        <f t="shared" ref="G12:I12" si="23">G5/G28</f>
        <v>#DIV/0!</v>
      </c>
      <c r="H12" s="122" t="str">
        <f t="shared" si="23"/>
        <v>#DIV/0!</v>
      </c>
      <c r="I12" s="122" t="str">
        <f t="shared" si="23"/>
        <v>#DIV/0!</v>
      </c>
      <c r="J12" s="121"/>
      <c r="K12" s="124" t="str">
        <f t="shared" ref="K12:M12" si="24">K5/K28</f>
        <v>#DIV/0!</v>
      </c>
      <c r="L12" s="124" t="str">
        <f t="shared" si="24"/>
        <v>#DIV/0!</v>
      </c>
      <c r="M12" s="124" t="str">
        <f t="shared" si="24"/>
        <v>#DIV/0!</v>
      </c>
      <c r="N12" s="121"/>
      <c r="O12" s="125" t="str">
        <f t="shared" ref="O12:Q12" si="25">O5/O28</f>
        <v>#DIV/0!</v>
      </c>
      <c r="P12" s="125" t="str">
        <f t="shared" si="25"/>
        <v>#DIV/0!</v>
      </c>
      <c r="Q12" s="125" t="str">
        <f t="shared" si="25"/>
        <v>#DIV/0!</v>
      </c>
      <c r="R12" s="121"/>
    </row>
    <row r="13" ht="42.75" customHeight="1">
      <c r="B13" s="117" t="s">
        <v>119</v>
      </c>
      <c r="C13" s="119" t="str">
        <f t="shared" ref="C13:E13" si="26">C7/C28</f>
        <v>#DIV/0!</v>
      </c>
      <c r="D13" s="119" t="str">
        <f t="shared" si="26"/>
        <v>#DIV/0!</v>
      </c>
      <c r="E13" s="119" t="str">
        <f t="shared" si="26"/>
        <v>#DIV/0!</v>
      </c>
      <c r="F13" s="121"/>
      <c r="G13" s="122" t="str">
        <f t="shared" ref="G13:I13" si="27">G7/G28</f>
        <v>#DIV/0!</v>
      </c>
      <c r="H13" s="122" t="str">
        <f t="shared" si="27"/>
        <v>#DIV/0!</v>
      </c>
      <c r="I13" s="122" t="str">
        <f t="shared" si="27"/>
        <v>#DIV/0!</v>
      </c>
      <c r="J13" s="121"/>
      <c r="K13" s="124" t="str">
        <f t="shared" ref="K13:M13" si="28">K7/K28</f>
        <v>#DIV/0!</v>
      </c>
      <c r="L13" s="124" t="str">
        <f t="shared" si="28"/>
        <v>#DIV/0!</v>
      </c>
      <c r="M13" s="124" t="str">
        <f t="shared" si="28"/>
        <v>#DIV/0!</v>
      </c>
      <c r="N13" s="121"/>
      <c r="O13" s="125" t="str">
        <f t="shared" ref="O13:Q13" si="29">O7/O28</f>
        <v>#DIV/0!</v>
      </c>
      <c r="P13" s="125" t="str">
        <f t="shared" si="29"/>
        <v>#DIV/0!</v>
      </c>
      <c r="Q13" s="125" t="str">
        <f t="shared" si="29"/>
        <v>#DIV/0!</v>
      </c>
      <c r="R13" s="121"/>
    </row>
    <row r="14" ht="42.75" customHeight="1">
      <c r="B14" s="117" t="s">
        <v>121</v>
      </c>
      <c r="C14" s="126" t="str">
        <f t="shared" ref="C14:E14" si="30">C5/C34</f>
        <v>#DIV/0!</v>
      </c>
      <c r="D14" s="126" t="str">
        <f t="shared" si="30"/>
        <v>#DIV/0!</v>
      </c>
      <c r="E14" s="126" t="str">
        <f t="shared" si="30"/>
        <v>#DIV/0!</v>
      </c>
      <c r="F14" s="121"/>
      <c r="G14" s="127" t="str">
        <f t="shared" ref="G14:I14" si="31">G5/G34</f>
        <v>#DIV/0!</v>
      </c>
      <c r="H14" s="127" t="str">
        <f t="shared" si="31"/>
        <v>#DIV/0!</v>
      </c>
      <c r="I14" s="127" t="str">
        <f t="shared" si="31"/>
        <v>#DIV/0!</v>
      </c>
      <c r="J14" s="121"/>
      <c r="K14" s="128" t="str">
        <f t="shared" ref="K14:M14" si="32">K5/K34</f>
        <v>#DIV/0!</v>
      </c>
      <c r="L14" s="128" t="str">
        <f t="shared" si="32"/>
        <v>#DIV/0!</v>
      </c>
      <c r="M14" s="128" t="str">
        <f t="shared" si="32"/>
        <v>#DIV/0!</v>
      </c>
      <c r="N14" s="121"/>
      <c r="O14" s="129" t="str">
        <f t="shared" ref="O14:Q14" si="33">O5/O34</f>
        <v>#DIV/0!</v>
      </c>
      <c r="P14" s="129" t="str">
        <f t="shared" si="33"/>
        <v>#DIV/0!</v>
      </c>
      <c r="Q14" s="129" t="str">
        <f t="shared" si="33"/>
        <v>#DIV/0!</v>
      </c>
      <c r="R14" s="121"/>
    </row>
    <row r="15" ht="42.75" customHeight="1">
      <c r="B15" s="117" t="s">
        <v>123</v>
      </c>
      <c r="C15" s="119" t="str">
        <f t="shared" ref="C15:E15" si="34">(C6/(1-C34/C28))</f>
        <v>#DIV/0!</v>
      </c>
      <c r="D15" s="119" t="str">
        <f t="shared" si="34"/>
        <v>#DIV/0!</v>
      </c>
      <c r="E15" s="119" t="str">
        <f t="shared" si="34"/>
        <v>#DIV/0!</v>
      </c>
      <c r="F15" s="130"/>
      <c r="G15" s="122" t="str">
        <f t="shared" ref="G15:I15" si="35">(G6/(1-G34/G28))</f>
        <v>#DIV/0!</v>
      </c>
      <c r="H15" s="122" t="str">
        <f t="shared" si="35"/>
        <v>#DIV/0!</v>
      </c>
      <c r="I15" s="122" t="str">
        <f t="shared" si="35"/>
        <v>#DIV/0!</v>
      </c>
      <c r="J15" s="130"/>
      <c r="K15" s="124" t="str">
        <f t="shared" ref="K15:M15" si="36">(K6/(1-K34/K28))</f>
        <v>#DIV/0!</v>
      </c>
      <c r="L15" s="124" t="str">
        <f t="shared" si="36"/>
        <v>#DIV/0!</v>
      </c>
      <c r="M15" s="124" t="str">
        <f t="shared" si="36"/>
        <v>#DIV/0!</v>
      </c>
      <c r="N15" s="130"/>
      <c r="O15" s="125" t="str">
        <f t="shared" ref="O15:Q15" si="37">(O6/(1-O34/O28))</f>
        <v>#DIV/0!</v>
      </c>
      <c r="P15" s="125" t="str">
        <f t="shared" si="37"/>
        <v>#DIV/0!</v>
      </c>
      <c r="Q15" s="125" t="str">
        <f t="shared" si="37"/>
        <v>#DIV/0!</v>
      </c>
      <c r="R15" s="130"/>
    </row>
    <row r="16" ht="15.0" customHeight="1">
      <c r="A16" s="105"/>
      <c r="B16" s="106"/>
      <c r="C16" s="107"/>
      <c r="D16" s="107"/>
      <c r="E16" s="107"/>
      <c r="F16" s="108"/>
      <c r="G16" s="107"/>
      <c r="H16" s="107"/>
      <c r="I16" s="107"/>
      <c r="J16" s="108"/>
      <c r="K16" s="107"/>
      <c r="L16" s="107"/>
      <c r="M16" s="107"/>
      <c r="N16" s="108"/>
      <c r="O16" s="107"/>
      <c r="P16" s="107"/>
      <c r="Q16" s="107"/>
      <c r="R16" s="108"/>
      <c r="S16" s="109"/>
      <c r="T16" s="105"/>
      <c r="U16" s="105"/>
      <c r="V16" s="105"/>
      <c r="W16" s="105"/>
      <c r="X16" s="105"/>
      <c r="Y16" s="105"/>
      <c r="Z16" s="105"/>
    </row>
    <row r="17" ht="45.0" customHeight="1">
      <c r="B17" s="14" t="s">
        <v>125</v>
      </c>
      <c r="C17" s="12"/>
      <c r="D17" s="12"/>
      <c r="E17" s="12"/>
      <c r="F17" s="12"/>
    </row>
    <row r="18" ht="31.5" customHeight="1">
      <c r="A18" s="17"/>
      <c r="B18" s="21"/>
      <c r="C18" s="22" t="s">
        <v>15</v>
      </c>
      <c r="D18" s="22" t="s">
        <v>16</v>
      </c>
      <c r="E18" s="22" t="s">
        <v>17</v>
      </c>
      <c r="F18" s="24" t="s">
        <v>18</v>
      </c>
      <c r="G18" s="26" t="s">
        <v>19</v>
      </c>
      <c r="H18" s="27" t="s">
        <v>20</v>
      </c>
      <c r="I18" s="27" t="s">
        <v>23</v>
      </c>
      <c r="J18" s="29" t="s">
        <v>13</v>
      </c>
      <c r="K18" s="30" t="s">
        <v>24</v>
      </c>
      <c r="L18" s="31" t="s">
        <v>26</v>
      </c>
      <c r="M18" s="31" t="s">
        <v>27</v>
      </c>
      <c r="N18" s="33" t="s">
        <v>28</v>
      </c>
      <c r="O18" s="35" t="s">
        <v>30</v>
      </c>
      <c r="P18" s="37" t="s">
        <v>31</v>
      </c>
      <c r="Q18" s="37" t="s">
        <v>32</v>
      </c>
      <c r="R18" s="39" t="s">
        <v>14</v>
      </c>
      <c r="S18" s="40" t="s">
        <v>33</v>
      </c>
      <c r="T18" s="17"/>
      <c r="U18" s="17"/>
      <c r="V18" s="17"/>
      <c r="W18" s="17"/>
      <c r="X18" s="17"/>
      <c r="Y18" s="17"/>
      <c r="Z18" s="17"/>
    </row>
    <row r="19" ht="21.75" customHeight="1">
      <c r="B19" s="131" t="s">
        <v>126</v>
      </c>
      <c r="C19" s="132"/>
      <c r="D19" s="132"/>
      <c r="E19" s="132"/>
      <c r="F19" s="133"/>
      <c r="G19" s="134"/>
      <c r="H19" s="132"/>
      <c r="I19" s="132"/>
      <c r="J19" s="133"/>
      <c r="K19" s="134"/>
      <c r="L19" s="132"/>
      <c r="M19" s="132"/>
      <c r="N19" s="133"/>
      <c r="O19" s="134"/>
      <c r="P19" s="132"/>
      <c r="Q19" s="132"/>
      <c r="R19" s="133"/>
      <c r="S19" s="134"/>
    </row>
    <row r="20" ht="21.75" customHeight="1">
      <c r="B20" s="135" t="s">
        <v>127</v>
      </c>
      <c r="C20" s="136">
        <v>0.0</v>
      </c>
      <c r="D20" s="136">
        <v>0.0</v>
      </c>
      <c r="E20" s="136">
        <v>0.0</v>
      </c>
      <c r="F20" s="137">
        <f t="shared" ref="F20:F22" si="38">SUM(C20:E20)</f>
        <v>0</v>
      </c>
      <c r="G20" s="138">
        <v>0.0</v>
      </c>
      <c r="H20" s="136">
        <v>0.0</v>
      </c>
      <c r="I20" s="136">
        <v>0.0</v>
      </c>
      <c r="J20" s="139">
        <f t="shared" ref="J20:J22" si="39">SUM(G20:I20)</f>
        <v>0</v>
      </c>
      <c r="K20" s="138">
        <v>0.0</v>
      </c>
      <c r="L20" s="136">
        <v>0.0</v>
      </c>
      <c r="M20" s="136">
        <v>0.0</v>
      </c>
      <c r="N20" s="140">
        <f t="shared" ref="N20:N22" si="40">SUM(K20:M20)</f>
        <v>0</v>
      </c>
      <c r="O20" s="138">
        <v>0.0</v>
      </c>
      <c r="P20" s="136">
        <v>0.0</v>
      </c>
      <c r="Q20" s="136">
        <v>0.0</v>
      </c>
      <c r="R20" s="141">
        <f t="shared" ref="R20:R22" si="41">SUM(O20:Q20)</f>
        <v>0</v>
      </c>
      <c r="S20" s="142">
        <f t="shared" ref="S20:S23" si="42">SUM(F20,J20,N20,R20)</f>
        <v>0</v>
      </c>
    </row>
    <row r="21" ht="21.75" customHeight="1">
      <c r="B21" s="135" t="s">
        <v>130</v>
      </c>
      <c r="C21" s="136">
        <v>0.0</v>
      </c>
      <c r="D21" s="136">
        <v>0.0</v>
      </c>
      <c r="E21" s="136">
        <v>0.0</v>
      </c>
      <c r="F21" s="137">
        <f t="shared" si="38"/>
        <v>0</v>
      </c>
      <c r="G21" s="138">
        <v>0.0</v>
      </c>
      <c r="H21" s="136">
        <v>0.0</v>
      </c>
      <c r="I21" s="136">
        <v>0.0</v>
      </c>
      <c r="J21" s="139">
        <f t="shared" si="39"/>
        <v>0</v>
      </c>
      <c r="K21" s="138">
        <v>0.0</v>
      </c>
      <c r="L21" s="136">
        <v>0.0</v>
      </c>
      <c r="M21" s="136">
        <v>0.0</v>
      </c>
      <c r="N21" s="140">
        <f t="shared" si="40"/>
        <v>0</v>
      </c>
      <c r="O21" s="138">
        <v>0.0</v>
      </c>
      <c r="P21" s="136">
        <v>0.0</v>
      </c>
      <c r="Q21" s="136">
        <v>0.0</v>
      </c>
      <c r="R21" s="141">
        <f t="shared" si="41"/>
        <v>0</v>
      </c>
      <c r="S21" s="142">
        <f t="shared" si="42"/>
        <v>0</v>
      </c>
    </row>
    <row r="22" ht="21.75" customHeight="1">
      <c r="B22" s="135" t="s">
        <v>76</v>
      </c>
      <c r="C22" s="136">
        <v>0.0</v>
      </c>
      <c r="D22" s="136">
        <v>0.0</v>
      </c>
      <c r="E22" s="136">
        <v>0.0</v>
      </c>
      <c r="F22" s="137">
        <f t="shared" si="38"/>
        <v>0</v>
      </c>
      <c r="G22" s="138">
        <v>0.0</v>
      </c>
      <c r="H22" s="136">
        <v>0.0</v>
      </c>
      <c r="I22" s="136">
        <v>0.0</v>
      </c>
      <c r="J22" s="139">
        <f t="shared" si="39"/>
        <v>0</v>
      </c>
      <c r="K22" s="138">
        <v>0.0</v>
      </c>
      <c r="L22" s="136">
        <v>0.0</v>
      </c>
      <c r="M22" s="136">
        <v>0.0</v>
      </c>
      <c r="N22" s="140">
        <f t="shared" si="40"/>
        <v>0</v>
      </c>
      <c r="O22" s="138">
        <v>0.0</v>
      </c>
      <c r="P22" s="136">
        <v>0.0</v>
      </c>
      <c r="Q22" s="136">
        <v>0.0</v>
      </c>
      <c r="R22" s="141">
        <f t="shared" si="41"/>
        <v>0</v>
      </c>
      <c r="S22" s="142">
        <f t="shared" si="42"/>
        <v>0</v>
      </c>
    </row>
    <row r="23" ht="21.75" customHeight="1">
      <c r="B23" s="143" t="s">
        <v>133</v>
      </c>
      <c r="C23" s="144">
        <f t="shared" ref="C23:R23" si="43">SUM(C20:C22)</f>
        <v>0</v>
      </c>
      <c r="D23" s="144">
        <f t="shared" si="43"/>
        <v>0</v>
      </c>
      <c r="E23" s="144">
        <f t="shared" si="43"/>
        <v>0</v>
      </c>
      <c r="F23" s="144">
        <f t="shared" si="43"/>
        <v>0</v>
      </c>
      <c r="G23" s="145">
        <f t="shared" si="43"/>
        <v>0</v>
      </c>
      <c r="H23" s="145">
        <f t="shared" si="43"/>
        <v>0</v>
      </c>
      <c r="I23" s="145">
        <f t="shared" si="43"/>
        <v>0</v>
      </c>
      <c r="J23" s="146">
        <f t="shared" si="43"/>
        <v>0</v>
      </c>
      <c r="K23" s="147">
        <f t="shared" si="43"/>
        <v>0</v>
      </c>
      <c r="L23" s="147">
        <f t="shared" si="43"/>
        <v>0</v>
      </c>
      <c r="M23" s="147">
        <f t="shared" si="43"/>
        <v>0</v>
      </c>
      <c r="N23" s="148">
        <f t="shared" si="43"/>
        <v>0</v>
      </c>
      <c r="O23" s="149">
        <f t="shared" si="43"/>
        <v>0</v>
      </c>
      <c r="P23" s="149">
        <f t="shared" si="43"/>
        <v>0</v>
      </c>
      <c r="Q23" s="149">
        <f t="shared" si="43"/>
        <v>0</v>
      </c>
      <c r="R23" s="150">
        <f t="shared" si="43"/>
        <v>0</v>
      </c>
      <c r="S23" s="151">
        <f t="shared" si="42"/>
        <v>0</v>
      </c>
    </row>
    <row r="24" ht="21.75" customHeight="1">
      <c r="B24" s="131" t="s">
        <v>136</v>
      </c>
      <c r="C24" s="132"/>
      <c r="D24" s="132"/>
      <c r="E24" s="132"/>
      <c r="F24" s="133"/>
      <c r="G24" s="134"/>
      <c r="H24" s="132"/>
      <c r="I24" s="132"/>
      <c r="J24" s="133"/>
      <c r="K24" s="134"/>
      <c r="L24" s="132"/>
      <c r="M24" s="132"/>
      <c r="N24" s="133"/>
      <c r="O24" s="134"/>
      <c r="P24" s="132"/>
      <c r="Q24" s="132"/>
      <c r="R24" s="133"/>
      <c r="S24" s="134"/>
    </row>
    <row r="25" ht="21.75" customHeight="1">
      <c r="B25" s="135" t="s">
        <v>137</v>
      </c>
      <c r="C25" s="136">
        <v>0.0</v>
      </c>
      <c r="D25" s="136">
        <v>0.0</v>
      </c>
      <c r="E25" s="136">
        <v>0.0</v>
      </c>
      <c r="F25" s="137">
        <f t="shared" ref="F25:F27" si="44">SUM(C25:E25)</f>
        <v>0</v>
      </c>
      <c r="G25" s="138">
        <v>0.0</v>
      </c>
      <c r="H25" s="136">
        <v>0.0</v>
      </c>
      <c r="I25" s="136">
        <v>0.0</v>
      </c>
      <c r="J25" s="139">
        <f t="shared" ref="J25:J27" si="45">SUM(G25:I25)</f>
        <v>0</v>
      </c>
      <c r="K25" s="138">
        <v>0.0</v>
      </c>
      <c r="L25" s="136">
        <v>0.0</v>
      </c>
      <c r="M25" s="136">
        <v>0.0</v>
      </c>
      <c r="N25" s="140">
        <f t="shared" ref="N25:N27" si="46">SUM(K25:M25)</f>
        <v>0</v>
      </c>
      <c r="O25" s="138">
        <v>0.0</v>
      </c>
      <c r="P25" s="136">
        <v>0.0</v>
      </c>
      <c r="Q25" s="136">
        <v>0.0</v>
      </c>
      <c r="R25" s="141">
        <f t="shared" ref="R25:R27" si="47">SUM(O25:Q25)</f>
        <v>0</v>
      </c>
      <c r="S25" s="142">
        <f t="shared" ref="S25:S28" si="48">SUM(F25,J25,N25,R25)</f>
        <v>0</v>
      </c>
    </row>
    <row r="26" ht="21.75" customHeight="1">
      <c r="B26" s="135" t="s">
        <v>138</v>
      </c>
      <c r="C26" s="136">
        <v>0.0</v>
      </c>
      <c r="D26" s="136">
        <v>0.0</v>
      </c>
      <c r="E26" s="136">
        <v>0.0</v>
      </c>
      <c r="F26" s="137">
        <f t="shared" si="44"/>
        <v>0</v>
      </c>
      <c r="G26" s="138">
        <v>0.0</v>
      </c>
      <c r="H26" s="136">
        <v>0.0</v>
      </c>
      <c r="I26" s="136">
        <v>0.0</v>
      </c>
      <c r="J26" s="139">
        <f t="shared" si="45"/>
        <v>0</v>
      </c>
      <c r="K26" s="138">
        <v>0.0</v>
      </c>
      <c r="L26" s="136">
        <v>0.0</v>
      </c>
      <c r="M26" s="136">
        <v>0.0</v>
      </c>
      <c r="N26" s="140">
        <f t="shared" si="46"/>
        <v>0</v>
      </c>
      <c r="O26" s="138">
        <v>0.0</v>
      </c>
      <c r="P26" s="136">
        <v>0.0</v>
      </c>
      <c r="Q26" s="136">
        <v>0.0</v>
      </c>
      <c r="R26" s="141">
        <f t="shared" si="47"/>
        <v>0</v>
      </c>
      <c r="S26" s="142">
        <f t="shared" si="48"/>
        <v>0</v>
      </c>
    </row>
    <row r="27" ht="21.75" customHeight="1">
      <c r="B27" s="143" t="s">
        <v>139</v>
      </c>
      <c r="C27" s="136">
        <v>0.0</v>
      </c>
      <c r="D27" s="136">
        <v>0.0</v>
      </c>
      <c r="E27" s="136">
        <v>0.0</v>
      </c>
      <c r="F27" s="137">
        <f t="shared" si="44"/>
        <v>0</v>
      </c>
      <c r="G27" s="138">
        <v>0.0</v>
      </c>
      <c r="H27" s="136">
        <v>0.0</v>
      </c>
      <c r="I27" s="136">
        <v>0.0</v>
      </c>
      <c r="J27" s="139">
        <f t="shared" si="45"/>
        <v>0</v>
      </c>
      <c r="K27" s="138">
        <v>0.0</v>
      </c>
      <c r="L27" s="136">
        <v>0.0</v>
      </c>
      <c r="M27" s="136">
        <v>0.0</v>
      </c>
      <c r="N27" s="140">
        <f t="shared" si="46"/>
        <v>0</v>
      </c>
      <c r="O27" s="138">
        <v>0.0</v>
      </c>
      <c r="P27" s="136">
        <v>0.0</v>
      </c>
      <c r="Q27" s="136">
        <v>0.0</v>
      </c>
      <c r="R27" s="141">
        <f t="shared" si="47"/>
        <v>0</v>
      </c>
      <c r="S27" s="142">
        <f t="shared" si="48"/>
        <v>0</v>
      </c>
    </row>
    <row r="28" ht="21.75" customHeight="1">
      <c r="B28" s="143" t="s">
        <v>140</v>
      </c>
      <c r="C28" s="144">
        <f t="shared" ref="C28:R28" si="49">C23-C27</f>
        <v>0</v>
      </c>
      <c r="D28" s="144">
        <f t="shared" si="49"/>
        <v>0</v>
      </c>
      <c r="E28" s="144">
        <f t="shared" si="49"/>
        <v>0</v>
      </c>
      <c r="F28" s="144">
        <f t="shared" si="49"/>
        <v>0</v>
      </c>
      <c r="G28" s="152">
        <f t="shared" si="49"/>
        <v>0</v>
      </c>
      <c r="H28" s="145">
        <f t="shared" si="49"/>
        <v>0</v>
      </c>
      <c r="I28" s="145">
        <f t="shared" si="49"/>
        <v>0</v>
      </c>
      <c r="J28" s="146">
        <f t="shared" si="49"/>
        <v>0</v>
      </c>
      <c r="K28" s="153">
        <f t="shared" si="49"/>
        <v>0</v>
      </c>
      <c r="L28" s="147">
        <f t="shared" si="49"/>
        <v>0</v>
      </c>
      <c r="M28" s="147">
        <f t="shared" si="49"/>
        <v>0</v>
      </c>
      <c r="N28" s="148">
        <f t="shared" si="49"/>
        <v>0</v>
      </c>
      <c r="O28" s="154">
        <f t="shared" si="49"/>
        <v>0</v>
      </c>
      <c r="P28" s="149">
        <f t="shared" si="49"/>
        <v>0</v>
      </c>
      <c r="Q28" s="149">
        <f t="shared" si="49"/>
        <v>0</v>
      </c>
      <c r="R28" s="150">
        <f t="shared" si="49"/>
        <v>0</v>
      </c>
      <c r="S28" s="151">
        <f t="shared" si="48"/>
        <v>0</v>
      </c>
    </row>
    <row r="29" ht="21.75" customHeight="1">
      <c r="B29" s="131" t="s">
        <v>141</v>
      </c>
      <c r="C29" s="132"/>
      <c r="D29" s="132"/>
      <c r="E29" s="132"/>
      <c r="F29" s="133"/>
      <c r="G29" s="134"/>
      <c r="H29" s="132"/>
      <c r="I29" s="132"/>
      <c r="J29" s="133"/>
      <c r="K29" s="134"/>
      <c r="L29" s="132"/>
      <c r="M29" s="132"/>
      <c r="N29" s="133"/>
      <c r="O29" s="134"/>
      <c r="P29" s="132"/>
      <c r="Q29" s="132"/>
      <c r="R29" s="133"/>
      <c r="S29" s="134"/>
    </row>
    <row r="30" ht="21.75" customHeight="1">
      <c r="B30" s="135" t="s">
        <v>143</v>
      </c>
      <c r="C30" s="136">
        <v>0.0</v>
      </c>
      <c r="D30" s="136">
        <v>0.0</v>
      </c>
      <c r="E30" s="136">
        <v>0.0</v>
      </c>
      <c r="F30" s="137">
        <f t="shared" ref="F30:F31" si="50">SUM(C30:E30)</f>
        <v>0</v>
      </c>
      <c r="G30" s="136">
        <v>0.0</v>
      </c>
      <c r="H30" s="136">
        <v>0.0</v>
      </c>
      <c r="I30" s="136">
        <v>0.0</v>
      </c>
      <c r="J30" s="139">
        <f t="shared" ref="J30:J31" si="51">SUM(G30:I30)</f>
        <v>0</v>
      </c>
      <c r="K30" s="136">
        <v>0.0</v>
      </c>
      <c r="L30" s="136">
        <v>0.0</v>
      </c>
      <c r="M30" s="136">
        <v>0.0</v>
      </c>
      <c r="N30" s="140">
        <f t="shared" ref="N30:N31" si="52">SUM(K30:M30)</f>
        <v>0</v>
      </c>
      <c r="O30" s="136">
        <v>0.0</v>
      </c>
      <c r="P30" s="136">
        <v>0.0</v>
      </c>
      <c r="Q30" s="136">
        <v>0.0</v>
      </c>
      <c r="R30" s="141">
        <f t="shared" ref="R30:R31" si="53">SUM(O30:Q30)</f>
        <v>0</v>
      </c>
      <c r="S30" s="142">
        <f t="shared" ref="S30:S33" si="54">SUM(F30,J30,N30,R30)</f>
        <v>0</v>
      </c>
    </row>
    <row r="31" ht="21.75" customHeight="1">
      <c r="B31" s="135" t="s">
        <v>145</v>
      </c>
      <c r="C31" s="136">
        <v>0.0</v>
      </c>
      <c r="D31" s="136">
        <v>0.0</v>
      </c>
      <c r="E31" s="136">
        <v>0.0</v>
      </c>
      <c r="F31" s="137">
        <f t="shared" si="50"/>
        <v>0</v>
      </c>
      <c r="G31" s="136">
        <v>0.0</v>
      </c>
      <c r="H31" s="136">
        <v>0.0</v>
      </c>
      <c r="I31" s="136">
        <v>0.0</v>
      </c>
      <c r="J31" s="139">
        <f t="shared" si="51"/>
        <v>0</v>
      </c>
      <c r="K31" s="136">
        <v>0.0</v>
      </c>
      <c r="L31" s="136">
        <v>0.0</v>
      </c>
      <c r="M31" s="136">
        <v>0.0</v>
      </c>
      <c r="N31" s="140">
        <f t="shared" si="52"/>
        <v>0</v>
      </c>
      <c r="O31" s="136">
        <v>0.0</v>
      </c>
      <c r="P31" s="136">
        <v>0.0</v>
      </c>
      <c r="Q31" s="136">
        <v>0.0</v>
      </c>
      <c r="R31" s="141">
        <f t="shared" si="53"/>
        <v>0</v>
      </c>
      <c r="S31" s="142">
        <f t="shared" si="54"/>
        <v>0</v>
      </c>
    </row>
    <row r="32" ht="21.75" customHeight="1">
      <c r="B32" s="143" t="s">
        <v>146</v>
      </c>
      <c r="C32" s="155">
        <f t="shared" ref="C32:F32" si="55">SUM(C30:C31)</f>
        <v>0</v>
      </c>
      <c r="D32" s="155">
        <f t="shared" si="55"/>
        <v>0</v>
      </c>
      <c r="E32" s="155">
        <f t="shared" si="55"/>
        <v>0</v>
      </c>
      <c r="F32" s="156">
        <f t="shared" si="55"/>
        <v>0</v>
      </c>
      <c r="G32" s="157">
        <f t="shared" ref="G32:R32" si="56">G31-G30</f>
        <v>0</v>
      </c>
      <c r="H32" s="158">
        <f t="shared" si="56"/>
        <v>0</v>
      </c>
      <c r="I32" s="158">
        <f t="shared" si="56"/>
        <v>0</v>
      </c>
      <c r="J32" s="159">
        <f t="shared" si="56"/>
        <v>0</v>
      </c>
      <c r="K32" s="160">
        <f t="shared" si="56"/>
        <v>0</v>
      </c>
      <c r="L32" s="161">
        <f t="shared" si="56"/>
        <v>0</v>
      </c>
      <c r="M32" s="161">
        <f t="shared" si="56"/>
        <v>0</v>
      </c>
      <c r="N32" s="162">
        <f t="shared" si="56"/>
        <v>0</v>
      </c>
      <c r="O32" s="163">
        <f t="shared" si="56"/>
        <v>0</v>
      </c>
      <c r="P32" s="164">
        <f t="shared" si="56"/>
        <v>0</v>
      </c>
      <c r="Q32" s="164">
        <f t="shared" si="56"/>
        <v>0</v>
      </c>
      <c r="R32" s="165">
        <f t="shared" si="56"/>
        <v>0</v>
      </c>
      <c r="S32" s="142">
        <f t="shared" si="54"/>
        <v>0</v>
      </c>
    </row>
    <row r="33" ht="21.75" customHeight="1">
      <c r="B33" s="135" t="s">
        <v>149</v>
      </c>
      <c r="C33" s="136">
        <v>0.0</v>
      </c>
      <c r="D33" s="136">
        <v>0.0</v>
      </c>
      <c r="E33" s="136">
        <v>0.0</v>
      </c>
      <c r="F33" s="156">
        <f>SUM(C33:E33)</f>
        <v>0</v>
      </c>
      <c r="G33" s="138">
        <v>0.0</v>
      </c>
      <c r="H33" s="136">
        <v>0.0</v>
      </c>
      <c r="I33" s="136">
        <v>0.0</v>
      </c>
      <c r="J33" s="159">
        <f>SUM(G33:I33)</f>
        <v>0</v>
      </c>
      <c r="K33" s="138">
        <v>0.0</v>
      </c>
      <c r="L33" s="136">
        <v>0.0</v>
      </c>
      <c r="M33" s="136">
        <v>0.0</v>
      </c>
      <c r="N33" s="162">
        <f>SUM(K33:M33)</f>
        <v>0</v>
      </c>
      <c r="O33" s="138">
        <v>0.0</v>
      </c>
      <c r="P33" s="136">
        <v>0.0</v>
      </c>
      <c r="Q33" s="136">
        <v>0.0</v>
      </c>
      <c r="R33" s="165">
        <f>SUM(O33:Q33)</f>
        <v>0</v>
      </c>
      <c r="S33" s="142">
        <f t="shared" si="54"/>
        <v>0</v>
      </c>
    </row>
    <row r="34" ht="21.75" customHeight="1">
      <c r="B34" s="143" t="s">
        <v>152</v>
      </c>
      <c r="C34" s="144">
        <f t="shared" ref="C34:S34" si="57">C32-C33</f>
        <v>0</v>
      </c>
      <c r="D34" s="144">
        <f t="shared" si="57"/>
        <v>0</v>
      </c>
      <c r="E34" s="144">
        <f t="shared" si="57"/>
        <v>0</v>
      </c>
      <c r="F34" s="166">
        <f t="shared" si="57"/>
        <v>0</v>
      </c>
      <c r="G34" s="152">
        <f t="shared" si="57"/>
        <v>0</v>
      </c>
      <c r="H34" s="145">
        <f t="shared" si="57"/>
        <v>0</v>
      </c>
      <c r="I34" s="145">
        <f t="shared" si="57"/>
        <v>0</v>
      </c>
      <c r="J34" s="167">
        <f t="shared" si="57"/>
        <v>0</v>
      </c>
      <c r="K34" s="153">
        <f t="shared" si="57"/>
        <v>0</v>
      </c>
      <c r="L34" s="147">
        <f t="shared" si="57"/>
        <v>0</v>
      </c>
      <c r="M34" s="147">
        <f t="shared" si="57"/>
        <v>0</v>
      </c>
      <c r="N34" s="148">
        <f t="shared" si="57"/>
        <v>0</v>
      </c>
      <c r="O34" s="154">
        <f t="shared" si="57"/>
        <v>0</v>
      </c>
      <c r="P34" s="149">
        <f t="shared" si="57"/>
        <v>0</v>
      </c>
      <c r="Q34" s="149">
        <f t="shared" si="57"/>
        <v>0</v>
      </c>
      <c r="R34" s="150">
        <f t="shared" si="57"/>
        <v>0</v>
      </c>
      <c r="S34" s="151">
        <f t="shared" si="57"/>
        <v>0</v>
      </c>
    </row>
    <row r="35" ht="21.75" customHeight="1">
      <c r="B35" s="143" t="s">
        <v>35</v>
      </c>
      <c r="C35" s="168">
        <f t="shared" ref="C35:E35" si="58">C28-C34</f>
        <v>0</v>
      </c>
      <c r="D35" s="168">
        <f t="shared" si="58"/>
        <v>0</v>
      </c>
      <c r="E35" s="168">
        <f t="shared" si="58"/>
        <v>0</v>
      </c>
      <c r="F35" s="169">
        <f>SUM(C35:E35)</f>
        <v>0</v>
      </c>
      <c r="G35" s="170">
        <f t="shared" ref="G35:I35" si="59">G28-G34</f>
        <v>0</v>
      </c>
      <c r="H35" s="171">
        <f t="shared" si="59"/>
        <v>0</v>
      </c>
      <c r="I35" s="171">
        <f t="shared" si="59"/>
        <v>0</v>
      </c>
      <c r="J35" s="172">
        <f>SUM(G35:I35)</f>
        <v>0</v>
      </c>
      <c r="K35" s="173">
        <f t="shared" ref="K35:M35" si="60">K28-K34</f>
        <v>0</v>
      </c>
      <c r="L35" s="174">
        <f t="shared" si="60"/>
        <v>0</v>
      </c>
      <c r="M35" s="174">
        <f t="shared" si="60"/>
        <v>0</v>
      </c>
      <c r="N35" s="175">
        <f>SUM(K35:M35)</f>
        <v>0</v>
      </c>
      <c r="O35" s="176">
        <f t="shared" ref="O35:Q35" si="61">O28-O34</f>
        <v>0</v>
      </c>
      <c r="P35" s="177">
        <f t="shared" si="61"/>
        <v>0</v>
      </c>
      <c r="Q35" s="177">
        <f t="shared" si="61"/>
        <v>0</v>
      </c>
      <c r="R35" s="178">
        <f>SUM(O35:Q35)</f>
        <v>0</v>
      </c>
      <c r="S35" s="179">
        <f>SUM(F35,J35,N35,R35)</f>
        <v>0</v>
      </c>
    </row>
    <row r="36" ht="15.0" customHeight="1">
      <c r="A36" s="105"/>
      <c r="B36" s="106"/>
      <c r="C36" s="107"/>
      <c r="D36" s="107"/>
      <c r="E36" s="107"/>
      <c r="F36" s="108"/>
      <c r="G36" s="107"/>
      <c r="H36" s="107"/>
      <c r="I36" s="107"/>
      <c r="J36" s="108"/>
      <c r="K36" s="107"/>
      <c r="L36" s="107"/>
      <c r="M36" s="107"/>
      <c r="N36" s="108"/>
      <c r="O36" s="107"/>
      <c r="P36" s="107"/>
      <c r="Q36" s="107"/>
      <c r="R36" s="108"/>
      <c r="S36" s="109"/>
      <c r="T36" s="105"/>
      <c r="U36" s="105"/>
      <c r="V36" s="105"/>
      <c r="W36" s="105"/>
      <c r="X36" s="105"/>
      <c r="Y36" s="105"/>
      <c r="Z36" s="105"/>
    </row>
    <row r="37" ht="45.0" customHeight="1">
      <c r="B37" s="14" t="s">
        <v>155</v>
      </c>
      <c r="C37" s="12"/>
      <c r="D37" s="12"/>
      <c r="E37" s="12"/>
      <c r="F37" s="12"/>
    </row>
    <row r="38" ht="31.5" customHeight="1">
      <c r="A38" s="17"/>
      <c r="B38" s="21"/>
      <c r="C38" s="22" t="s">
        <v>15</v>
      </c>
      <c r="D38" s="22" t="s">
        <v>16</v>
      </c>
      <c r="E38" s="22" t="s">
        <v>17</v>
      </c>
      <c r="F38" s="24" t="s">
        <v>18</v>
      </c>
      <c r="G38" s="26" t="s">
        <v>19</v>
      </c>
      <c r="H38" s="27" t="s">
        <v>20</v>
      </c>
      <c r="I38" s="27" t="s">
        <v>23</v>
      </c>
      <c r="J38" s="29" t="s">
        <v>13</v>
      </c>
      <c r="K38" s="30" t="s">
        <v>24</v>
      </c>
      <c r="L38" s="31" t="s">
        <v>26</v>
      </c>
      <c r="M38" s="31" t="s">
        <v>27</v>
      </c>
      <c r="N38" s="33" t="s">
        <v>28</v>
      </c>
      <c r="O38" s="35" t="s">
        <v>30</v>
      </c>
      <c r="P38" s="37" t="s">
        <v>31</v>
      </c>
      <c r="Q38" s="37" t="s">
        <v>32</v>
      </c>
      <c r="R38" s="39" t="s">
        <v>14</v>
      </c>
      <c r="S38" s="40" t="s">
        <v>33</v>
      </c>
      <c r="T38" s="17"/>
      <c r="U38" s="17"/>
      <c r="V38" s="17"/>
      <c r="W38" s="17"/>
      <c r="X38" s="17"/>
      <c r="Y38" s="17"/>
      <c r="Z38" s="17"/>
    </row>
    <row r="39" ht="21.75" customHeight="1">
      <c r="B39" s="131" t="s">
        <v>156</v>
      </c>
      <c r="C39" s="132"/>
      <c r="D39" s="132"/>
      <c r="E39" s="132"/>
      <c r="F39" s="133"/>
      <c r="G39" s="134"/>
      <c r="H39" s="132"/>
      <c r="I39" s="132"/>
      <c r="J39" s="133"/>
      <c r="K39" s="134"/>
      <c r="L39" s="132"/>
      <c r="M39" s="132"/>
      <c r="N39" s="133"/>
      <c r="O39" s="134"/>
      <c r="P39" s="132"/>
      <c r="Q39" s="132"/>
      <c r="R39" s="133"/>
      <c r="S39" s="134"/>
    </row>
    <row r="40" ht="21.75" customHeight="1">
      <c r="B40" s="135" t="s">
        <v>157</v>
      </c>
      <c r="C40" s="136">
        <v>0.0</v>
      </c>
      <c r="D40" s="136">
        <v>0.0</v>
      </c>
      <c r="E40" s="136">
        <v>0.0</v>
      </c>
      <c r="F40" s="137">
        <f t="shared" ref="F40:F48" si="62">SUM(C40:E40)</f>
        <v>0</v>
      </c>
      <c r="G40" s="136">
        <v>0.0</v>
      </c>
      <c r="H40" s="136">
        <v>0.0</v>
      </c>
      <c r="I40" s="136">
        <v>0.0</v>
      </c>
      <c r="J40" s="139">
        <f t="shared" ref="J40:J48" si="63">SUM(G40:I40)</f>
        <v>0</v>
      </c>
      <c r="K40" s="136">
        <v>0.0</v>
      </c>
      <c r="L40" s="136">
        <v>0.0</v>
      </c>
      <c r="M40" s="136">
        <v>0.0</v>
      </c>
      <c r="N40" s="140">
        <f t="shared" ref="N40:N48" si="64">SUM(K40:M40)</f>
        <v>0</v>
      </c>
      <c r="O40" s="136">
        <v>0.0</v>
      </c>
      <c r="P40" s="136">
        <v>0.0</v>
      </c>
      <c r="Q40" s="136">
        <v>0.0</v>
      </c>
      <c r="R40" s="141">
        <f t="shared" ref="R40:R48" si="65">SUM(O40:Q40)</f>
        <v>0</v>
      </c>
      <c r="S40" s="142">
        <f t="shared" ref="S40:S48" si="66">SUM(F40,J40,N40,R40)</f>
        <v>0</v>
      </c>
    </row>
    <row r="41" ht="21.75" customHeight="1">
      <c r="B41" s="135" t="s">
        <v>158</v>
      </c>
      <c r="C41" s="136">
        <v>0.0</v>
      </c>
      <c r="D41" s="136">
        <v>0.0</v>
      </c>
      <c r="E41" s="136">
        <v>0.0</v>
      </c>
      <c r="F41" s="137">
        <f t="shared" si="62"/>
        <v>0</v>
      </c>
      <c r="G41" s="136">
        <v>0.0</v>
      </c>
      <c r="H41" s="136">
        <v>0.0</v>
      </c>
      <c r="I41" s="136">
        <v>0.0</v>
      </c>
      <c r="J41" s="139">
        <f t="shared" si="63"/>
        <v>0</v>
      </c>
      <c r="K41" s="136">
        <v>0.0</v>
      </c>
      <c r="L41" s="136">
        <v>0.0</v>
      </c>
      <c r="M41" s="136">
        <v>0.0</v>
      </c>
      <c r="N41" s="140">
        <f t="shared" si="64"/>
        <v>0</v>
      </c>
      <c r="O41" s="136">
        <v>0.0</v>
      </c>
      <c r="P41" s="136">
        <v>0.0</v>
      </c>
      <c r="Q41" s="136">
        <v>0.0</v>
      </c>
      <c r="R41" s="141">
        <f t="shared" si="65"/>
        <v>0</v>
      </c>
      <c r="S41" s="142">
        <f t="shared" si="66"/>
        <v>0</v>
      </c>
    </row>
    <row r="42" ht="21.75" customHeight="1">
      <c r="B42" s="135" t="s">
        <v>159</v>
      </c>
      <c r="C42" s="136">
        <v>0.0</v>
      </c>
      <c r="D42" s="136">
        <v>0.0</v>
      </c>
      <c r="E42" s="136">
        <v>0.0</v>
      </c>
      <c r="F42" s="137">
        <f t="shared" si="62"/>
        <v>0</v>
      </c>
      <c r="G42" s="136">
        <v>0.0</v>
      </c>
      <c r="H42" s="136">
        <v>0.0</v>
      </c>
      <c r="I42" s="136">
        <v>0.0</v>
      </c>
      <c r="J42" s="139">
        <f t="shared" si="63"/>
        <v>0</v>
      </c>
      <c r="K42" s="136">
        <v>0.0</v>
      </c>
      <c r="L42" s="136">
        <v>0.0</v>
      </c>
      <c r="M42" s="136">
        <v>0.0</v>
      </c>
      <c r="N42" s="140">
        <f t="shared" si="64"/>
        <v>0</v>
      </c>
      <c r="O42" s="136">
        <v>0.0</v>
      </c>
      <c r="P42" s="136">
        <v>0.0</v>
      </c>
      <c r="Q42" s="136">
        <v>0.0</v>
      </c>
      <c r="R42" s="141">
        <f t="shared" si="65"/>
        <v>0</v>
      </c>
      <c r="S42" s="142">
        <f t="shared" si="66"/>
        <v>0</v>
      </c>
    </row>
    <row r="43" ht="21.75" customHeight="1">
      <c r="B43" s="135" t="s">
        <v>160</v>
      </c>
      <c r="C43" s="136">
        <v>0.0</v>
      </c>
      <c r="D43" s="136">
        <v>0.0</v>
      </c>
      <c r="E43" s="136">
        <v>0.0</v>
      </c>
      <c r="F43" s="137">
        <f t="shared" si="62"/>
        <v>0</v>
      </c>
      <c r="G43" s="136">
        <v>0.0</v>
      </c>
      <c r="H43" s="136">
        <v>0.0</v>
      </c>
      <c r="I43" s="136">
        <v>0.0</v>
      </c>
      <c r="J43" s="139">
        <f t="shared" si="63"/>
        <v>0</v>
      </c>
      <c r="K43" s="136">
        <v>0.0</v>
      </c>
      <c r="L43" s="136">
        <v>0.0</v>
      </c>
      <c r="M43" s="136">
        <v>0.0</v>
      </c>
      <c r="N43" s="140">
        <f t="shared" si="64"/>
        <v>0</v>
      </c>
      <c r="O43" s="136">
        <v>0.0</v>
      </c>
      <c r="P43" s="136">
        <v>0.0</v>
      </c>
      <c r="Q43" s="136">
        <v>0.0</v>
      </c>
      <c r="R43" s="141">
        <f t="shared" si="65"/>
        <v>0</v>
      </c>
      <c r="S43" s="142">
        <f t="shared" si="66"/>
        <v>0</v>
      </c>
    </row>
    <row r="44" ht="21.75" customHeight="1">
      <c r="B44" s="135" t="s">
        <v>161</v>
      </c>
      <c r="C44" s="136">
        <v>0.0</v>
      </c>
      <c r="D44" s="136">
        <v>0.0</v>
      </c>
      <c r="E44" s="136">
        <v>0.0</v>
      </c>
      <c r="F44" s="137">
        <f t="shared" si="62"/>
        <v>0</v>
      </c>
      <c r="G44" s="136">
        <v>0.0</v>
      </c>
      <c r="H44" s="136">
        <v>0.0</v>
      </c>
      <c r="I44" s="136">
        <v>0.0</v>
      </c>
      <c r="J44" s="139">
        <f t="shared" si="63"/>
        <v>0</v>
      </c>
      <c r="K44" s="136">
        <v>0.0</v>
      </c>
      <c r="L44" s="136">
        <v>0.0</v>
      </c>
      <c r="M44" s="136">
        <v>0.0</v>
      </c>
      <c r="N44" s="140">
        <f t="shared" si="64"/>
        <v>0</v>
      </c>
      <c r="O44" s="136">
        <v>0.0</v>
      </c>
      <c r="P44" s="136">
        <v>0.0</v>
      </c>
      <c r="Q44" s="136">
        <v>0.0</v>
      </c>
      <c r="R44" s="141">
        <f t="shared" si="65"/>
        <v>0</v>
      </c>
      <c r="S44" s="142">
        <f t="shared" si="66"/>
        <v>0</v>
      </c>
    </row>
    <row r="45" ht="21.75" customHeight="1">
      <c r="B45" s="135" t="s">
        <v>76</v>
      </c>
      <c r="C45" s="136">
        <v>0.0</v>
      </c>
      <c r="D45" s="136">
        <v>0.0</v>
      </c>
      <c r="E45" s="136">
        <v>0.0</v>
      </c>
      <c r="F45" s="137">
        <f t="shared" si="62"/>
        <v>0</v>
      </c>
      <c r="G45" s="136">
        <v>0.0</v>
      </c>
      <c r="H45" s="136">
        <v>0.0</v>
      </c>
      <c r="I45" s="136">
        <v>0.0</v>
      </c>
      <c r="J45" s="139">
        <f t="shared" si="63"/>
        <v>0</v>
      </c>
      <c r="K45" s="136">
        <v>0.0</v>
      </c>
      <c r="L45" s="136">
        <v>0.0</v>
      </c>
      <c r="M45" s="136">
        <v>0.0</v>
      </c>
      <c r="N45" s="140">
        <f t="shared" si="64"/>
        <v>0</v>
      </c>
      <c r="O45" s="136">
        <v>0.0</v>
      </c>
      <c r="P45" s="136">
        <v>0.0</v>
      </c>
      <c r="Q45" s="136">
        <v>0.0</v>
      </c>
      <c r="R45" s="141">
        <f t="shared" si="65"/>
        <v>0</v>
      </c>
      <c r="S45" s="142">
        <f t="shared" si="66"/>
        <v>0</v>
      </c>
    </row>
    <row r="46" ht="21.75" customHeight="1">
      <c r="B46" s="135" t="s">
        <v>76</v>
      </c>
      <c r="C46" s="136">
        <v>0.0</v>
      </c>
      <c r="D46" s="136">
        <v>0.0</v>
      </c>
      <c r="E46" s="136">
        <v>0.0</v>
      </c>
      <c r="F46" s="137">
        <f t="shared" si="62"/>
        <v>0</v>
      </c>
      <c r="G46" s="136">
        <v>0.0</v>
      </c>
      <c r="H46" s="136">
        <v>0.0</v>
      </c>
      <c r="I46" s="136">
        <v>0.0</v>
      </c>
      <c r="J46" s="139">
        <f t="shared" si="63"/>
        <v>0</v>
      </c>
      <c r="K46" s="136">
        <v>0.0</v>
      </c>
      <c r="L46" s="136">
        <v>0.0</v>
      </c>
      <c r="M46" s="136">
        <v>0.0</v>
      </c>
      <c r="N46" s="140">
        <f t="shared" si="64"/>
        <v>0</v>
      </c>
      <c r="O46" s="136">
        <v>0.0</v>
      </c>
      <c r="P46" s="136">
        <v>0.0</v>
      </c>
      <c r="Q46" s="136">
        <v>0.0</v>
      </c>
      <c r="R46" s="141">
        <f t="shared" si="65"/>
        <v>0</v>
      </c>
      <c r="S46" s="142">
        <f t="shared" si="66"/>
        <v>0</v>
      </c>
    </row>
    <row r="47" ht="21.75" customHeight="1">
      <c r="B47" s="135" t="s">
        <v>76</v>
      </c>
      <c r="C47" s="136">
        <v>0.0</v>
      </c>
      <c r="D47" s="136">
        <v>0.0</v>
      </c>
      <c r="E47" s="136">
        <v>0.0</v>
      </c>
      <c r="F47" s="137">
        <f t="shared" si="62"/>
        <v>0</v>
      </c>
      <c r="G47" s="136">
        <v>0.0</v>
      </c>
      <c r="H47" s="136">
        <v>0.0</v>
      </c>
      <c r="I47" s="136">
        <v>0.0</v>
      </c>
      <c r="J47" s="139">
        <f t="shared" si="63"/>
        <v>0</v>
      </c>
      <c r="K47" s="136">
        <v>0.0</v>
      </c>
      <c r="L47" s="136">
        <v>0.0</v>
      </c>
      <c r="M47" s="136">
        <v>0.0</v>
      </c>
      <c r="N47" s="140">
        <f t="shared" si="64"/>
        <v>0</v>
      </c>
      <c r="O47" s="136">
        <v>0.0</v>
      </c>
      <c r="P47" s="136">
        <v>0.0</v>
      </c>
      <c r="Q47" s="136">
        <v>0.0</v>
      </c>
      <c r="R47" s="141">
        <f t="shared" si="65"/>
        <v>0</v>
      </c>
      <c r="S47" s="142">
        <f t="shared" si="66"/>
        <v>0</v>
      </c>
    </row>
    <row r="48" ht="21.75" customHeight="1">
      <c r="B48" s="143" t="s">
        <v>162</v>
      </c>
      <c r="C48" s="180">
        <f t="shared" ref="C48:E48" si="67">SUM(C40:C47)</f>
        <v>0</v>
      </c>
      <c r="D48" s="180">
        <f t="shared" si="67"/>
        <v>0</v>
      </c>
      <c r="E48" s="180">
        <f t="shared" si="67"/>
        <v>0</v>
      </c>
      <c r="F48" s="137">
        <f t="shared" si="62"/>
        <v>0</v>
      </c>
      <c r="G48" s="181">
        <f t="shared" ref="G48:I48" si="68">SUM(G40:G47)</f>
        <v>0</v>
      </c>
      <c r="H48" s="182">
        <f t="shared" si="68"/>
        <v>0</v>
      </c>
      <c r="I48" s="182">
        <f t="shared" si="68"/>
        <v>0</v>
      </c>
      <c r="J48" s="139">
        <f t="shared" si="63"/>
        <v>0</v>
      </c>
      <c r="K48" s="183">
        <f t="shared" ref="K48:M48" si="69">SUM(K40:K47)</f>
        <v>0</v>
      </c>
      <c r="L48" s="184">
        <f t="shared" si="69"/>
        <v>0</v>
      </c>
      <c r="M48" s="184">
        <f t="shared" si="69"/>
        <v>0</v>
      </c>
      <c r="N48" s="140">
        <f t="shared" si="64"/>
        <v>0</v>
      </c>
      <c r="O48" s="185">
        <f t="shared" ref="O48:Q48" si="70">SUM(O40:O47)</f>
        <v>0</v>
      </c>
      <c r="P48" s="186">
        <f t="shared" si="70"/>
        <v>0</v>
      </c>
      <c r="Q48" s="186">
        <f t="shared" si="70"/>
        <v>0</v>
      </c>
      <c r="R48" s="141">
        <f t="shared" si="65"/>
        <v>0</v>
      </c>
      <c r="S48" s="151">
        <f t="shared" si="66"/>
        <v>0</v>
      </c>
    </row>
    <row r="49" ht="21.75" customHeight="1">
      <c r="B49" s="131" t="s">
        <v>163</v>
      </c>
      <c r="C49" s="132"/>
      <c r="D49" s="132"/>
      <c r="E49" s="132"/>
      <c r="F49" s="133"/>
      <c r="G49" s="134"/>
      <c r="H49" s="132"/>
      <c r="I49" s="132"/>
      <c r="J49" s="133"/>
      <c r="K49" s="134"/>
      <c r="L49" s="132"/>
      <c r="M49" s="132"/>
      <c r="N49" s="133"/>
      <c r="O49" s="134"/>
      <c r="P49" s="132"/>
      <c r="Q49" s="132"/>
      <c r="R49" s="133"/>
      <c r="S49" s="134"/>
    </row>
    <row r="50" ht="21.75" customHeight="1">
      <c r="B50" s="135" t="s">
        <v>164</v>
      </c>
      <c r="C50" s="136">
        <v>0.0</v>
      </c>
      <c r="D50" s="136">
        <v>0.0</v>
      </c>
      <c r="E50" s="136">
        <v>0.0</v>
      </c>
      <c r="F50" s="137">
        <f t="shared" ref="F50:F60" si="71">SUM(C50:E50)</f>
        <v>0</v>
      </c>
      <c r="G50" s="136">
        <v>0.0</v>
      </c>
      <c r="H50" s="136">
        <v>0.0</v>
      </c>
      <c r="I50" s="136">
        <v>0.0</v>
      </c>
      <c r="J50" s="139">
        <f t="shared" ref="J50:J60" si="72">SUM(G50:I50)</f>
        <v>0</v>
      </c>
      <c r="K50" s="136">
        <v>0.0</v>
      </c>
      <c r="L50" s="136">
        <v>0.0</v>
      </c>
      <c r="M50" s="136">
        <v>0.0</v>
      </c>
      <c r="N50" s="140">
        <f t="shared" ref="N50:N60" si="73">SUM(K50:M50)</f>
        <v>0</v>
      </c>
      <c r="O50" s="136">
        <v>0.0</v>
      </c>
      <c r="P50" s="136">
        <v>0.0</v>
      </c>
      <c r="Q50" s="136">
        <v>0.0</v>
      </c>
      <c r="R50" s="141">
        <f t="shared" ref="R50:R60" si="74">SUM(O50:Q50)</f>
        <v>0</v>
      </c>
      <c r="S50" s="142">
        <f t="shared" ref="S50:S60" si="75">SUM(F50,J50,N50,R50)</f>
        <v>0</v>
      </c>
    </row>
    <row r="51" ht="21.75" customHeight="1">
      <c r="B51" s="135" t="s">
        <v>165</v>
      </c>
      <c r="C51" s="136">
        <v>0.0</v>
      </c>
      <c r="D51" s="136">
        <v>0.0</v>
      </c>
      <c r="E51" s="136">
        <v>0.0</v>
      </c>
      <c r="F51" s="137">
        <f t="shared" si="71"/>
        <v>0</v>
      </c>
      <c r="G51" s="136">
        <v>0.0</v>
      </c>
      <c r="H51" s="136">
        <v>0.0</v>
      </c>
      <c r="I51" s="136">
        <v>0.0</v>
      </c>
      <c r="J51" s="139">
        <f t="shared" si="72"/>
        <v>0</v>
      </c>
      <c r="K51" s="136">
        <v>0.0</v>
      </c>
      <c r="L51" s="136">
        <v>0.0</v>
      </c>
      <c r="M51" s="136">
        <v>0.0</v>
      </c>
      <c r="N51" s="140">
        <f t="shared" si="73"/>
        <v>0</v>
      </c>
      <c r="O51" s="136">
        <v>0.0</v>
      </c>
      <c r="P51" s="136">
        <v>0.0</v>
      </c>
      <c r="Q51" s="136">
        <v>0.0</v>
      </c>
      <c r="R51" s="141">
        <f t="shared" si="74"/>
        <v>0</v>
      </c>
      <c r="S51" s="142">
        <f t="shared" si="75"/>
        <v>0</v>
      </c>
    </row>
    <row r="52" ht="21.75" customHeight="1">
      <c r="B52" s="135" t="s">
        <v>166</v>
      </c>
      <c r="C52" s="136">
        <v>0.0</v>
      </c>
      <c r="D52" s="136">
        <v>0.0</v>
      </c>
      <c r="E52" s="136">
        <v>0.0</v>
      </c>
      <c r="F52" s="137">
        <f t="shared" si="71"/>
        <v>0</v>
      </c>
      <c r="G52" s="136">
        <v>0.0</v>
      </c>
      <c r="H52" s="136">
        <v>0.0</v>
      </c>
      <c r="I52" s="136">
        <v>0.0</v>
      </c>
      <c r="J52" s="139">
        <f t="shared" si="72"/>
        <v>0</v>
      </c>
      <c r="K52" s="136">
        <v>0.0</v>
      </c>
      <c r="L52" s="136">
        <v>0.0</v>
      </c>
      <c r="M52" s="136">
        <v>0.0</v>
      </c>
      <c r="N52" s="140">
        <f t="shared" si="73"/>
        <v>0</v>
      </c>
      <c r="O52" s="136">
        <v>0.0</v>
      </c>
      <c r="P52" s="136">
        <v>0.0</v>
      </c>
      <c r="Q52" s="136">
        <v>0.0</v>
      </c>
      <c r="R52" s="141">
        <f t="shared" si="74"/>
        <v>0</v>
      </c>
      <c r="S52" s="142">
        <f t="shared" si="75"/>
        <v>0</v>
      </c>
    </row>
    <row r="53" ht="21.75" customHeight="1">
      <c r="B53" s="135" t="s">
        <v>167</v>
      </c>
      <c r="C53" s="136">
        <v>0.0</v>
      </c>
      <c r="D53" s="136">
        <v>0.0</v>
      </c>
      <c r="E53" s="136">
        <v>0.0</v>
      </c>
      <c r="F53" s="137">
        <f t="shared" si="71"/>
        <v>0</v>
      </c>
      <c r="G53" s="136">
        <v>0.0</v>
      </c>
      <c r="H53" s="136">
        <v>0.0</v>
      </c>
      <c r="I53" s="136">
        <v>0.0</v>
      </c>
      <c r="J53" s="139">
        <f t="shared" si="72"/>
        <v>0</v>
      </c>
      <c r="K53" s="136">
        <v>0.0</v>
      </c>
      <c r="L53" s="136">
        <v>0.0</v>
      </c>
      <c r="M53" s="136">
        <v>0.0</v>
      </c>
      <c r="N53" s="140">
        <f t="shared" si="73"/>
        <v>0</v>
      </c>
      <c r="O53" s="136">
        <v>0.0</v>
      </c>
      <c r="P53" s="136">
        <v>0.0</v>
      </c>
      <c r="Q53" s="136">
        <v>0.0</v>
      </c>
      <c r="R53" s="141">
        <f t="shared" si="74"/>
        <v>0</v>
      </c>
      <c r="S53" s="142">
        <f t="shared" si="75"/>
        <v>0</v>
      </c>
    </row>
    <row r="54" ht="21.75" customHeight="1">
      <c r="B54" s="135" t="s">
        <v>168</v>
      </c>
      <c r="C54" s="136">
        <v>0.0</v>
      </c>
      <c r="D54" s="136">
        <v>0.0</v>
      </c>
      <c r="E54" s="136">
        <v>0.0</v>
      </c>
      <c r="F54" s="137">
        <f t="shared" si="71"/>
        <v>0</v>
      </c>
      <c r="G54" s="136">
        <v>0.0</v>
      </c>
      <c r="H54" s="136">
        <v>0.0</v>
      </c>
      <c r="I54" s="136">
        <v>0.0</v>
      </c>
      <c r="J54" s="139">
        <f t="shared" si="72"/>
        <v>0</v>
      </c>
      <c r="K54" s="136">
        <v>0.0</v>
      </c>
      <c r="L54" s="136">
        <v>0.0</v>
      </c>
      <c r="M54" s="136">
        <v>0.0</v>
      </c>
      <c r="N54" s="140">
        <f t="shared" si="73"/>
        <v>0</v>
      </c>
      <c r="O54" s="136">
        <v>0.0</v>
      </c>
      <c r="P54" s="136">
        <v>0.0</v>
      </c>
      <c r="Q54" s="136">
        <v>0.0</v>
      </c>
      <c r="R54" s="141">
        <f t="shared" si="74"/>
        <v>0</v>
      </c>
      <c r="S54" s="142">
        <f t="shared" si="75"/>
        <v>0</v>
      </c>
    </row>
    <row r="55" ht="21.75" customHeight="1">
      <c r="B55" s="135" t="s">
        <v>169</v>
      </c>
      <c r="C55" s="136">
        <v>0.0</v>
      </c>
      <c r="D55" s="136">
        <v>0.0</v>
      </c>
      <c r="E55" s="136">
        <v>0.0</v>
      </c>
      <c r="F55" s="137">
        <f t="shared" si="71"/>
        <v>0</v>
      </c>
      <c r="G55" s="136">
        <v>0.0</v>
      </c>
      <c r="H55" s="136">
        <v>0.0</v>
      </c>
      <c r="I55" s="136">
        <v>0.0</v>
      </c>
      <c r="J55" s="139">
        <f t="shared" si="72"/>
        <v>0</v>
      </c>
      <c r="K55" s="136">
        <v>0.0</v>
      </c>
      <c r="L55" s="136">
        <v>0.0</v>
      </c>
      <c r="M55" s="136">
        <v>0.0</v>
      </c>
      <c r="N55" s="140">
        <f t="shared" si="73"/>
        <v>0</v>
      </c>
      <c r="O55" s="136">
        <v>0.0</v>
      </c>
      <c r="P55" s="136">
        <v>0.0</v>
      </c>
      <c r="Q55" s="136">
        <v>0.0</v>
      </c>
      <c r="R55" s="141">
        <f t="shared" si="74"/>
        <v>0</v>
      </c>
      <c r="S55" s="142">
        <f t="shared" si="75"/>
        <v>0</v>
      </c>
    </row>
    <row r="56" ht="21.75" customHeight="1">
      <c r="B56" s="135" t="s">
        <v>170</v>
      </c>
      <c r="C56" s="136">
        <v>0.0</v>
      </c>
      <c r="D56" s="136">
        <v>0.0</v>
      </c>
      <c r="E56" s="136">
        <v>0.0</v>
      </c>
      <c r="F56" s="137">
        <f t="shared" si="71"/>
        <v>0</v>
      </c>
      <c r="G56" s="136">
        <v>0.0</v>
      </c>
      <c r="H56" s="136">
        <v>0.0</v>
      </c>
      <c r="I56" s="136">
        <v>0.0</v>
      </c>
      <c r="J56" s="139">
        <f t="shared" si="72"/>
        <v>0</v>
      </c>
      <c r="K56" s="136">
        <v>0.0</v>
      </c>
      <c r="L56" s="136">
        <v>0.0</v>
      </c>
      <c r="M56" s="136">
        <v>0.0</v>
      </c>
      <c r="N56" s="140">
        <f t="shared" si="73"/>
        <v>0</v>
      </c>
      <c r="O56" s="136">
        <v>0.0</v>
      </c>
      <c r="P56" s="136">
        <v>0.0</v>
      </c>
      <c r="Q56" s="136">
        <v>0.0</v>
      </c>
      <c r="R56" s="141">
        <f t="shared" si="74"/>
        <v>0</v>
      </c>
      <c r="S56" s="142">
        <f t="shared" si="75"/>
        <v>0</v>
      </c>
    </row>
    <row r="57" ht="21.75" customHeight="1">
      <c r="B57" s="135" t="s">
        <v>76</v>
      </c>
      <c r="C57" s="136">
        <v>0.0</v>
      </c>
      <c r="D57" s="136">
        <v>0.0</v>
      </c>
      <c r="E57" s="136">
        <v>0.0</v>
      </c>
      <c r="F57" s="137">
        <f t="shared" si="71"/>
        <v>0</v>
      </c>
      <c r="G57" s="136">
        <v>0.0</v>
      </c>
      <c r="H57" s="136">
        <v>0.0</v>
      </c>
      <c r="I57" s="136">
        <v>0.0</v>
      </c>
      <c r="J57" s="139">
        <f t="shared" si="72"/>
        <v>0</v>
      </c>
      <c r="K57" s="136">
        <v>0.0</v>
      </c>
      <c r="L57" s="136">
        <v>0.0</v>
      </c>
      <c r="M57" s="136">
        <v>0.0</v>
      </c>
      <c r="N57" s="140">
        <f t="shared" si="73"/>
        <v>0</v>
      </c>
      <c r="O57" s="136">
        <v>0.0</v>
      </c>
      <c r="P57" s="136">
        <v>0.0</v>
      </c>
      <c r="Q57" s="136">
        <v>0.0</v>
      </c>
      <c r="R57" s="141">
        <f t="shared" si="74"/>
        <v>0</v>
      </c>
      <c r="S57" s="142">
        <f t="shared" si="75"/>
        <v>0</v>
      </c>
    </row>
    <row r="58" ht="21.75" customHeight="1">
      <c r="B58" s="135" t="s">
        <v>76</v>
      </c>
      <c r="C58" s="136">
        <v>0.0</v>
      </c>
      <c r="D58" s="136">
        <v>0.0</v>
      </c>
      <c r="E58" s="136">
        <v>0.0</v>
      </c>
      <c r="F58" s="137">
        <f t="shared" si="71"/>
        <v>0</v>
      </c>
      <c r="G58" s="136">
        <v>0.0</v>
      </c>
      <c r="H58" s="136">
        <v>0.0</v>
      </c>
      <c r="I58" s="136">
        <v>0.0</v>
      </c>
      <c r="J58" s="139">
        <f t="shared" si="72"/>
        <v>0</v>
      </c>
      <c r="K58" s="136">
        <v>0.0</v>
      </c>
      <c r="L58" s="136">
        <v>0.0</v>
      </c>
      <c r="M58" s="136">
        <v>0.0</v>
      </c>
      <c r="N58" s="140">
        <f t="shared" si="73"/>
        <v>0</v>
      </c>
      <c r="O58" s="136">
        <v>0.0</v>
      </c>
      <c r="P58" s="136">
        <v>0.0</v>
      </c>
      <c r="Q58" s="136">
        <v>0.0</v>
      </c>
      <c r="R58" s="141">
        <f t="shared" si="74"/>
        <v>0</v>
      </c>
      <c r="S58" s="142">
        <f t="shared" si="75"/>
        <v>0</v>
      </c>
    </row>
    <row r="59" ht="21.75" customHeight="1">
      <c r="B59" s="135" t="s">
        <v>76</v>
      </c>
      <c r="C59" s="136">
        <v>0.0</v>
      </c>
      <c r="D59" s="136">
        <v>0.0</v>
      </c>
      <c r="E59" s="136">
        <v>0.0</v>
      </c>
      <c r="F59" s="137">
        <f t="shared" si="71"/>
        <v>0</v>
      </c>
      <c r="G59" s="136">
        <v>0.0</v>
      </c>
      <c r="H59" s="136">
        <v>0.0</v>
      </c>
      <c r="I59" s="136">
        <v>0.0</v>
      </c>
      <c r="J59" s="139">
        <f t="shared" si="72"/>
        <v>0</v>
      </c>
      <c r="K59" s="136">
        <v>0.0</v>
      </c>
      <c r="L59" s="136">
        <v>0.0</v>
      </c>
      <c r="M59" s="136">
        <v>0.0</v>
      </c>
      <c r="N59" s="140">
        <f t="shared" si="73"/>
        <v>0</v>
      </c>
      <c r="O59" s="136">
        <v>0.0</v>
      </c>
      <c r="P59" s="136">
        <v>0.0</v>
      </c>
      <c r="Q59" s="136">
        <v>0.0</v>
      </c>
      <c r="R59" s="141">
        <f t="shared" si="74"/>
        <v>0</v>
      </c>
      <c r="S59" s="142">
        <f t="shared" si="75"/>
        <v>0</v>
      </c>
    </row>
    <row r="60" ht="21.75" customHeight="1">
      <c r="B60" s="143" t="s">
        <v>171</v>
      </c>
      <c r="C60" s="180">
        <f t="shared" ref="C60:E60" si="76">SUM(C50:C59)</f>
        <v>0</v>
      </c>
      <c r="D60" s="180">
        <f t="shared" si="76"/>
        <v>0</v>
      </c>
      <c r="E60" s="180">
        <f t="shared" si="76"/>
        <v>0</v>
      </c>
      <c r="F60" s="137">
        <f t="shared" si="71"/>
        <v>0</v>
      </c>
      <c r="G60" s="181">
        <f t="shared" ref="G60:I60" si="77">SUM(G50:G59)</f>
        <v>0</v>
      </c>
      <c r="H60" s="182">
        <f t="shared" si="77"/>
        <v>0</v>
      </c>
      <c r="I60" s="182">
        <f t="shared" si="77"/>
        <v>0</v>
      </c>
      <c r="J60" s="139">
        <f t="shared" si="72"/>
        <v>0</v>
      </c>
      <c r="K60" s="183">
        <f t="shared" ref="K60:M60" si="78">SUM(K50:K59)</f>
        <v>0</v>
      </c>
      <c r="L60" s="184">
        <f t="shared" si="78"/>
        <v>0</v>
      </c>
      <c r="M60" s="184">
        <f t="shared" si="78"/>
        <v>0</v>
      </c>
      <c r="N60" s="140">
        <f t="shared" si="73"/>
        <v>0</v>
      </c>
      <c r="O60" s="185">
        <f t="shared" ref="O60:Q60" si="79">SUM(O50:O59)</f>
        <v>0</v>
      </c>
      <c r="P60" s="186">
        <f t="shared" si="79"/>
        <v>0</v>
      </c>
      <c r="Q60" s="186">
        <f t="shared" si="79"/>
        <v>0</v>
      </c>
      <c r="R60" s="141">
        <f t="shared" si="74"/>
        <v>0</v>
      </c>
      <c r="S60" s="151">
        <f t="shared" si="75"/>
        <v>0</v>
      </c>
    </row>
    <row r="61" ht="21.75" customHeight="1">
      <c r="B61" s="131" t="s">
        <v>172</v>
      </c>
      <c r="C61" s="132"/>
      <c r="D61" s="132"/>
      <c r="E61" s="132"/>
      <c r="F61" s="133"/>
      <c r="G61" s="134"/>
      <c r="H61" s="132"/>
      <c r="I61" s="132"/>
      <c r="J61" s="133"/>
      <c r="K61" s="134"/>
      <c r="L61" s="132"/>
      <c r="M61" s="132"/>
      <c r="N61" s="133"/>
      <c r="O61" s="134"/>
      <c r="P61" s="132"/>
      <c r="Q61" s="132"/>
      <c r="R61" s="133"/>
      <c r="S61" s="134"/>
    </row>
    <row r="62" ht="21.75" customHeight="1">
      <c r="B62" s="135" t="s">
        <v>173</v>
      </c>
      <c r="C62" s="136">
        <v>0.0</v>
      </c>
      <c r="D62" s="136">
        <v>0.0</v>
      </c>
      <c r="E62" s="136">
        <v>0.0</v>
      </c>
      <c r="F62" s="137">
        <f t="shared" ref="F62:F67" si="80">SUM(C62:E62)</f>
        <v>0</v>
      </c>
      <c r="G62" s="136">
        <v>0.0</v>
      </c>
      <c r="H62" s="136">
        <v>0.0</v>
      </c>
      <c r="I62" s="136">
        <v>0.0</v>
      </c>
      <c r="J62" s="139">
        <f t="shared" ref="J62:J67" si="81">SUM(G62:I62)</f>
        <v>0</v>
      </c>
      <c r="K62" s="136">
        <v>0.0</v>
      </c>
      <c r="L62" s="136">
        <v>0.0</v>
      </c>
      <c r="M62" s="136">
        <v>0.0</v>
      </c>
      <c r="N62" s="140">
        <f t="shared" ref="N62:N67" si="82">SUM(K62:M62)</f>
        <v>0</v>
      </c>
      <c r="O62" s="136">
        <v>0.0</v>
      </c>
      <c r="P62" s="136">
        <v>0.0</v>
      </c>
      <c r="Q62" s="136">
        <v>0.0</v>
      </c>
      <c r="R62" s="141">
        <f t="shared" ref="R62:R67" si="83">SUM(O62:Q62)</f>
        <v>0</v>
      </c>
      <c r="S62" s="142">
        <f t="shared" ref="S62:S67" si="84">SUM(F62,J62,N62,R62)</f>
        <v>0</v>
      </c>
    </row>
    <row r="63" ht="21.75" customHeight="1">
      <c r="B63" s="135" t="s">
        <v>174</v>
      </c>
      <c r="C63" s="136">
        <v>0.0</v>
      </c>
      <c r="D63" s="136">
        <v>0.0</v>
      </c>
      <c r="E63" s="136">
        <v>0.0</v>
      </c>
      <c r="F63" s="137">
        <f t="shared" si="80"/>
        <v>0</v>
      </c>
      <c r="G63" s="136">
        <v>0.0</v>
      </c>
      <c r="H63" s="136">
        <v>0.0</v>
      </c>
      <c r="I63" s="136">
        <v>0.0</v>
      </c>
      <c r="J63" s="139">
        <f t="shared" si="81"/>
        <v>0</v>
      </c>
      <c r="K63" s="136">
        <v>0.0</v>
      </c>
      <c r="L63" s="136">
        <v>0.0</v>
      </c>
      <c r="M63" s="136">
        <v>0.0</v>
      </c>
      <c r="N63" s="140">
        <f t="shared" si="82"/>
        <v>0</v>
      </c>
      <c r="O63" s="136">
        <v>0.0</v>
      </c>
      <c r="P63" s="136">
        <v>0.0</v>
      </c>
      <c r="Q63" s="136">
        <v>0.0</v>
      </c>
      <c r="R63" s="141">
        <f t="shared" si="83"/>
        <v>0</v>
      </c>
      <c r="S63" s="142">
        <f t="shared" si="84"/>
        <v>0</v>
      </c>
    </row>
    <row r="64" ht="21.75" customHeight="1">
      <c r="B64" s="135" t="s">
        <v>76</v>
      </c>
      <c r="C64" s="136">
        <v>0.0</v>
      </c>
      <c r="D64" s="136">
        <v>0.0</v>
      </c>
      <c r="E64" s="136">
        <v>0.0</v>
      </c>
      <c r="F64" s="137">
        <f t="shared" si="80"/>
        <v>0</v>
      </c>
      <c r="G64" s="136">
        <v>0.0</v>
      </c>
      <c r="H64" s="136">
        <v>0.0</v>
      </c>
      <c r="I64" s="136">
        <v>0.0</v>
      </c>
      <c r="J64" s="139">
        <f t="shared" si="81"/>
        <v>0</v>
      </c>
      <c r="K64" s="136">
        <v>0.0</v>
      </c>
      <c r="L64" s="136">
        <v>0.0</v>
      </c>
      <c r="M64" s="136">
        <v>0.0</v>
      </c>
      <c r="N64" s="140">
        <f t="shared" si="82"/>
        <v>0</v>
      </c>
      <c r="O64" s="136">
        <v>0.0</v>
      </c>
      <c r="P64" s="136">
        <v>0.0</v>
      </c>
      <c r="Q64" s="136">
        <v>0.0</v>
      </c>
      <c r="R64" s="141">
        <f t="shared" si="83"/>
        <v>0</v>
      </c>
      <c r="S64" s="142">
        <f t="shared" si="84"/>
        <v>0</v>
      </c>
    </row>
    <row r="65" ht="21.75" customHeight="1">
      <c r="B65" s="135" t="s">
        <v>76</v>
      </c>
      <c r="C65" s="136">
        <v>0.0</v>
      </c>
      <c r="D65" s="136">
        <v>0.0</v>
      </c>
      <c r="E65" s="136">
        <v>0.0</v>
      </c>
      <c r="F65" s="137">
        <f t="shared" si="80"/>
        <v>0</v>
      </c>
      <c r="G65" s="136">
        <v>0.0</v>
      </c>
      <c r="H65" s="136">
        <v>0.0</v>
      </c>
      <c r="I65" s="136">
        <v>0.0</v>
      </c>
      <c r="J65" s="139">
        <f t="shared" si="81"/>
        <v>0</v>
      </c>
      <c r="K65" s="136">
        <v>0.0</v>
      </c>
      <c r="L65" s="136">
        <v>0.0</v>
      </c>
      <c r="M65" s="136">
        <v>0.0</v>
      </c>
      <c r="N65" s="140">
        <f t="shared" si="82"/>
        <v>0</v>
      </c>
      <c r="O65" s="136">
        <v>0.0</v>
      </c>
      <c r="P65" s="136">
        <v>0.0</v>
      </c>
      <c r="Q65" s="136">
        <v>0.0</v>
      </c>
      <c r="R65" s="141">
        <f t="shared" si="83"/>
        <v>0</v>
      </c>
      <c r="S65" s="142">
        <f t="shared" si="84"/>
        <v>0</v>
      </c>
    </row>
    <row r="66" ht="21.75" customHeight="1">
      <c r="B66" s="135" t="s">
        <v>76</v>
      </c>
      <c r="C66" s="136">
        <v>0.0</v>
      </c>
      <c r="D66" s="136">
        <v>0.0</v>
      </c>
      <c r="E66" s="136">
        <v>0.0</v>
      </c>
      <c r="F66" s="137">
        <f t="shared" si="80"/>
        <v>0</v>
      </c>
      <c r="G66" s="136">
        <v>0.0</v>
      </c>
      <c r="H66" s="136">
        <v>0.0</v>
      </c>
      <c r="I66" s="136">
        <v>0.0</v>
      </c>
      <c r="J66" s="139">
        <f t="shared" si="81"/>
        <v>0</v>
      </c>
      <c r="K66" s="136">
        <v>0.0</v>
      </c>
      <c r="L66" s="136">
        <v>0.0</v>
      </c>
      <c r="M66" s="136">
        <v>0.0</v>
      </c>
      <c r="N66" s="140">
        <f t="shared" si="82"/>
        <v>0</v>
      </c>
      <c r="O66" s="136">
        <v>0.0</v>
      </c>
      <c r="P66" s="136">
        <v>0.0</v>
      </c>
      <c r="Q66" s="136">
        <v>0.0</v>
      </c>
      <c r="R66" s="141">
        <f t="shared" si="83"/>
        <v>0</v>
      </c>
      <c r="S66" s="142">
        <f t="shared" si="84"/>
        <v>0</v>
      </c>
    </row>
    <row r="67" ht="21.75" customHeight="1">
      <c r="B67" s="143" t="s">
        <v>176</v>
      </c>
      <c r="C67" s="180">
        <f t="shared" ref="C67:E67" si="85">SUM(C62:C66)</f>
        <v>0</v>
      </c>
      <c r="D67" s="180">
        <f t="shared" si="85"/>
        <v>0</v>
      </c>
      <c r="E67" s="180">
        <f t="shared" si="85"/>
        <v>0</v>
      </c>
      <c r="F67" s="137">
        <f t="shared" si="80"/>
        <v>0</v>
      </c>
      <c r="G67" s="181">
        <f t="shared" ref="G67:I67" si="86">SUM(G62:G66)</f>
        <v>0</v>
      </c>
      <c r="H67" s="182">
        <f t="shared" si="86"/>
        <v>0</v>
      </c>
      <c r="I67" s="182">
        <f t="shared" si="86"/>
        <v>0</v>
      </c>
      <c r="J67" s="139">
        <f t="shared" si="81"/>
        <v>0</v>
      </c>
      <c r="K67" s="183">
        <f t="shared" ref="K67:M67" si="87">SUM(K62:K66)</f>
        <v>0</v>
      </c>
      <c r="L67" s="184">
        <f t="shared" si="87"/>
        <v>0</v>
      </c>
      <c r="M67" s="184">
        <f t="shared" si="87"/>
        <v>0</v>
      </c>
      <c r="N67" s="140">
        <f t="shared" si="82"/>
        <v>0</v>
      </c>
      <c r="O67" s="185">
        <f t="shared" ref="O67:Q67" si="88">SUM(O62:O66)</f>
        <v>0</v>
      </c>
      <c r="P67" s="186">
        <f t="shared" si="88"/>
        <v>0</v>
      </c>
      <c r="Q67" s="186">
        <f t="shared" si="88"/>
        <v>0</v>
      </c>
      <c r="R67" s="141">
        <f t="shared" si="83"/>
        <v>0</v>
      </c>
      <c r="S67" s="151">
        <f t="shared" si="84"/>
        <v>0</v>
      </c>
    </row>
    <row r="68" ht="21.75" customHeight="1">
      <c r="B68" s="131" t="s">
        <v>177</v>
      </c>
      <c r="C68" s="132"/>
      <c r="D68" s="132"/>
      <c r="E68" s="132"/>
      <c r="F68" s="133"/>
      <c r="G68" s="134"/>
      <c r="H68" s="132"/>
      <c r="I68" s="132"/>
      <c r="J68" s="133"/>
      <c r="K68" s="134"/>
      <c r="L68" s="132"/>
      <c r="M68" s="132"/>
      <c r="N68" s="133"/>
      <c r="O68" s="134"/>
      <c r="P68" s="132"/>
      <c r="Q68" s="132"/>
      <c r="R68" s="133"/>
      <c r="S68" s="134"/>
    </row>
    <row r="69" ht="21.75" customHeight="1">
      <c r="B69" s="135" t="s">
        <v>178</v>
      </c>
      <c r="C69" s="136">
        <v>0.0</v>
      </c>
      <c r="D69" s="136">
        <v>0.0</v>
      </c>
      <c r="E69" s="136">
        <v>0.0</v>
      </c>
      <c r="F69" s="137">
        <f t="shared" ref="F69:F74" si="89">SUM(C69:E69)</f>
        <v>0</v>
      </c>
      <c r="G69" s="136">
        <v>0.0</v>
      </c>
      <c r="H69" s="136">
        <v>0.0</v>
      </c>
      <c r="I69" s="136">
        <v>0.0</v>
      </c>
      <c r="J69" s="139">
        <f t="shared" ref="J69:J74" si="90">SUM(G69:I69)</f>
        <v>0</v>
      </c>
      <c r="K69" s="136">
        <v>0.0</v>
      </c>
      <c r="L69" s="136">
        <v>0.0</v>
      </c>
      <c r="M69" s="136">
        <v>0.0</v>
      </c>
      <c r="N69" s="140">
        <f t="shared" ref="N69:N74" si="91">SUM(K69:M69)</f>
        <v>0</v>
      </c>
      <c r="O69" s="136">
        <v>0.0</v>
      </c>
      <c r="P69" s="136">
        <v>0.0</v>
      </c>
      <c r="Q69" s="136">
        <v>0.0</v>
      </c>
      <c r="R69" s="141">
        <f t="shared" ref="R69:R74" si="92">SUM(O69:Q69)</f>
        <v>0</v>
      </c>
      <c r="S69" s="142">
        <f t="shared" ref="S69:S74" si="93">SUM(F69,J69,N69,R69)</f>
        <v>0</v>
      </c>
    </row>
    <row r="70" ht="21.75" customHeight="1">
      <c r="B70" s="135" t="s">
        <v>179</v>
      </c>
      <c r="C70" s="136">
        <v>0.0</v>
      </c>
      <c r="D70" s="136">
        <v>0.0</v>
      </c>
      <c r="E70" s="136">
        <v>0.0</v>
      </c>
      <c r="F70" s="137">
        <f t="shared" si="89"/>
        <v>0</v>
      </c>
      <c r="G70" s="136">
        <v>0.0</v>
      </c>
      <c r="H70" s="136">
        <v>0.0</v>
      </c>
      <c r="I70" s="136">
        <v>0.0</v>
      </c>
      <c r="J70" s="139">
        <f t="shared" si="90"/>
        <v>0</v>
      </c>
      <c r="K70" s="136">
        <v>0.0</v>
      </c>
      <c r="L70" s="136">
        <v>0.0</v>
      </c>
      <c r="M70" s="136">
        <v>0.0</v>
      </c>
      <c r="N70" s="140">
        <f t="shared" si="91"/>
        <v>0</v>
      </c>
      <c r="O70" s="136">
        <v>0.0</v>
      </c>
      <c r="P70" s="136">
        <v>0.0</v>
      </c>
      <c r="Q70" s="136">
        <v>0.0</v>
      </c>
      <c r="R70" s="141">
        <f t="shared" si="92"/>
        <v>0</v>
      </c>
      <c r="S70" s="142">
        <f t="shared" si="93"/>
        <v>0</v>
      </c>
    </row>
    <row r="71" ht="21.75" customHeight="1">
      <c r="B71" s="135" t="s">
        <v>76</v>
      </c>
      <c r="C71" s="136">
        <v>0.0</v>
      </c>
      <c r="D71" s="136">
        <v>0.0</v>
      </c>
      <c r="E71" s="136">
        <v>0.0</v>
      </c>
      <c r="F71" s="137">
        <f t="shared" si="89"/>
        <v>0</v>
      </c>
      <c r="G71" s="136">
        <v>0.0</v>
      </c>
      <c r="H71" s="136">
        <v>0.0</v>
      </c>
      <c r="I71" s="136">
        <v>0.0</v>
      </c>
      <c r="J71" s="139">
        <f t="shared" si="90"/>
        <v>0</v>
      </c>
      <c r="K71" s="136">
        <v>0.0</v>
      </c>
      <c r="L71" s="136">
        <v>0.0</v>
      </c>
      <c r="M71" s="136">
        <v>0.0</v>
      </c>
      <c r="N71" s="140">
        <f t="shared" si="91"/>
        <v>0</v>
      </c>
      <c r="O71" s="136">
        <v>0.0</v>
      </c>
      <c r="P71" s="136">
        <v>0.0</v>
      </c>
      <c r="Q71" s="136">
        <v>0.0</v>
      </c>
      <c r="R71" s="141">
        <f t="shared" si="92"/>
        <v>0</v>
      </c>
      <c r="S71" s="142">
        <f t="shared" si="93"/>
        <v>0</v>
      </c>
    </row>
    <row r="72" ht="21.75" customHeight="1">
      <c r="B72" s="135" t="s">
        <v>76</v>
      </c>
      <c r="C72" s="136">
        <v>0.0</v>
      </c>
      <c r="D72" s="136">
        <v>0.0</v>
      </c>
      <c r="E72" s="136">
        <v>0.0</v>
      </c>
      <c r="F72" s="137">
        <f t="shared" si="89"/>
        <v>0</v>
      </c>
      <c r="G72" s="136">
        <v>0.0</v>
      </c>
      <c r="H72" s="136">
        <v>0.0</v>
      </c>
      <c r="I72" s="136">
        <v>0.0</v>
      </c>
      <c r="J72" s="139">
        <f t="shared" si="90"/>
        <v>0</v>
      </c>
      <c r="K72" s="136">
        <v>0.0</v>
      </c>
      <c r="L72" s="136">
        <v>0.0</v>
      </c>
      <c r="M72" s="136">
        <v>0.0</v>
      </c>
      <c r="N72" s="140">
        <f t="shared" si="91"/>
        <v>0</v>
      </c>
      <c r="O72" s="136">
        <v>0.0</v>
      </c>
      <c r="P72" s="136">
        <v>0.0</v>
      </c>
      <c r="Q72" s="136">
        <v>0.0</v>
      </c>
      <c r="R72" s="141">
        <f t="shared" si="92"/>
        <v>0</v>
      </c>
      <c r="S72" s="142">
        <f t="shared" si="93"/>
        <v>0</v>
      </c>
    </row>
    <row r="73" ht="21.75" customHeight="1">
      <c r="B73" s="135" t="s">
        <v>76</v>
      </c>
      <c r="C73" s="136">
        <v>0.0</v>
      </c>
      <c r="D73" s="136">
        <v>0.0</v>
      </c>
      <c r="E73" s="136">
        <v>0.0</v>
      </c>
      <c r="F73" s="137">
        <f t="shared" si="89"/>
        <v>0</v>
      </c>
      <c r="G73" s="136">
        <v>0.0</v>
      </c>
      <c r="H73" s="136">
        <v>0.0</v>
      </c>
      <c r="I73" s="136">
        <v>0.0</v>
      </c>
      <c r="J73" s="139">
        <f t="shared" si="90"/>
        <v>0</v>
      </c>
      <c r="K73" s="136">
        <v>0.0</v>
      </c>
      <c r="L73" s="136">
        <v>0.0</v>
      </c>
      <c r="M73" s="136">
        <v>0.0</v>
      </c>
      <c r="N73" s="140">
        <f t="shared" si="91"/>
        <v>0</v>
      </c>
      <c r="O73" s="136">
        <v>0.0</v>
      </c>
      <c r="P73" s="136">
        <v>0.0</v>
      </c>
      <c r="Q73" s="136">
        <v>0.0</v>
      </c>
      <c r="R73" s="141">
        <f t="shared" si="92"/>
        <v>0</v>
      </c>
      <c r="S73" s="142">
        <f t="shared" si="93"/>
        <v>0</v>
      </c>
    </row>
    <row r="74" ht="21.75" customHeight="1">
      <c r="B74" s="143" t="s">
        <v>180</v>
      </c>
      <c r="C74" s="180">
        <f t="shared" ref="C74:E74" si="94">SUM(C69:C73)</f>
        <v>0</v>
      </c>
      <c r="D74" s="180">
        <f t="shared" si="94"/>
        <v>0</v>
      </c>
      <c r="E74" s="180">
        <f t="shared" si="94"/>
        <v>0</v>
      </c>
      <c r="F74" s="137">
        <f t="shared" si="89"/>
        <v>0</v>
      </c>
      <c r="G74" s="181">
        <f t="shared" ref="G74:I74" si="95">SUM(G69:G73)</f>
        <v>0</v>
      </c>
      <c r="H74" s="182">
        <f t="shared" si="95"/>
        <v>0</v>
      </c>
      <c r="I74" s="182">
        <f t="shared" si="95"/>
        <v>0</v>
      </c>
      <c r="J74" s="139">
        <f t="shared" si="90"/>
        <v>0</v>
      </c>
      <c r="K74" s="183">
        <f t="shared" ref="K74:M74" si="96">SUM(K69:K73)</f>
        <v>0</v>
      </c>
      <c r="L74" s="184">
        <f t="shared" si="96"/>
        <v>0</v>
      </c>
      <c r="M74" s="184">
        <f t="shared" si="96"/>
        <v>0</v>
      </c>
      <c r="N74" s="140">
        <f t="shared" si="91"/>
        <v>0</v>
      </c>
      <c r="O74" s="185">
        <f t="shared" ref="O74:Q74" si="97">SUM(O69:O73)</f>
        <v>0</v>
      </c>
      <c r="P74" s="186">
        <f t="shared" si="97"/>
        <v>0</v>
      </c>
      <c r="Q74" s="186">
        <f t="shared" si="97"/>
        <v>0</v>
      </c>
      <c r="R74" s="141">
        <f t="shared" si="92"/>
        <v>0</v>
      </c>
      <c r="S74" s="151">
        <f t="shared" si="93"/>
        <v>0</v>
      </c>
    </row>
    <row r="75" ht="21.75" customHeight="1">
      <c r="B75" s="131" t="s">
        <v>181</v>
      </c>
      <c r="C75" s="132"/>
      <c r="D75" s="132"/>
      <c r="E75" s="132"/>
      <c r="F75" s="133"/>
      <c r="G75" s="134"/>
      <c r="H75" s="132"/>
      <c r="I75" s="132"/>
      <c r="J75" s="133"/>
      <c r="K75" s="134"/>
      <c r="L75" s="132"/>
      <c r="M75" s="132"/>
      <c r="N75" s="133"/>
      <c r="O75" s="134"/>
      <c r="P75" s="132"/>
      <c r="Q75" s="132"/>
      <c r="R75" s="133"/>
      <c r="S75" s="134"/>
    </row>
    <row r="76" ht="21.75" customHeight="1">
      <c r="B76" s="135" t="s">
        <v>182</v>
      </c>
      <c r="C76" s="136">
        <v>0.0</v>
      </c>
      <c r="D76" s="136">
        <v>0.0</v>
      </c>
      <c r="E76" s="136">
        <v>0.0</v>
      </c>
      <c r="F76" s="137">
        <f t="shared" ref="F76:F90" si="98">SUM(C76:E76)</f>
        <v>0</v>
      </c>
      <c r="G76" s="136">
        <v>0.0</v>
      </c>
      <c r="H76" s="136">
        <v>0.0</v>
      </c>
      <c r="I76" s="136">
        <v>0.0</v>
      </c>
      <c r="J76" s="139">
        <f t="shared" ref="J76:J90" si="99">SUM(G76:I76)</f>
        <v>0</v>
      </c>
      <c r="K76" s="136">
        <v>0.0</v>
      </c>
      <c r="L76" s="136">
        <v>0.0</v>
      </c>
      <c r="M76" s="136">
        <v>0.0</v>
      </c>
      <c r="N76" s="140">
        <f t="shared" ref="N76:N90" si="100">SUM(K76:M76)</f>
        <v>0</v>
      </c>
      <c r="O76" s="136">
        <v>0.0</v>
      </c>
      <c r="P76" s="136">
        <v>0.0</v>
      </c>
      <c r="Q76" s="136">
        <v>0.0</v>
      </c>
      <c r="R76" s="141">
        <f t="shared" ref="R76:R90" si="101">SUM(O76:Q76)</f>
        <v>0</v>
      </c>
      <c r="S76" s="142">
        <f t="shared" ref="S76:S90" si="102">SUM(F76,J76,N76,R76)</f>
        <v>0</v>
      </c>
    </row>
    <row r="77" ht="21.75" customHeight="1">
      <c r="B77" s="135" t="s">
        <v>183</v>
      </c>
      <c r="C77" s="136">
        <v>0.0</v>
      </c>
      <c r="D77" s="136">
        <v>0.0</v>
      </c>
      <c r="E77" s="136">
        <v>0.0</v>
      </c>
      <c r="F77" s="137">
        <f t="shared" si="98"/>
        <v>0</v>
      </c>
      <c r="G77" s="136">
        <v>0.0</v>
      </c>
      <c r="H77" s="136">
        <v>0.0</v>
      </c>
      <c r="I77" s="136">
        <v>0.0</v>
      </c>
      <c r="J77" s="139">
        <f t="shared" si="99"/>
        <v>0</v>
      </c>
      <c r="K77" s="136">
        <v>0.0</v>
      </c>
      <c r="L77" s="136">
        <v>0.0</v>
      </c>
      <c r="M77" s="136">
        <v>0.0</v>
      </c>
      <c r="N77" s="140">
        <f t="shared" si="100"/>
        <v>0</v>
      </c>
      <c r="O77" s="136">
        <v>0.0</v>
      </c>
      <c r="P77" s="136">
        <v>0.0</v>
      </c>
      <c r="Q77" s="136">
        <v>0.0</v>
      </c>
      <c r="R77" s="141">
        <f t="shared" si="101"/>
        <v>0</v>
      </c>
      <c r="S77" s="142">
        <f t="shared" si="102"/>
        <v>0</v>
      </c>
    </row>
    <row r="78" ht="21.75" customHeight="1">
      <c r="B78" s="135" t="s">
        <v>184</v>
      </c>
      <c r="C78" s="136">
        <v>0.0</v>
      </c>
      <c r="D78" s="136">
        <v>0.0</v>
      </c>
      <c r="E78" s="136">
        <v>0.0</v>
      </c>
      <c r="F78" s="137">
        <f t="shared" si="98"/>
        <v>0</v>
      </c>
      <c r="G78" s="136">
        <v>0.0</v>
      </c>
      <c r="H78" s="136">
        <v>0.0</v>
      </c>
      <c r="I78" s="136">
        <v>0.0</v>
      </c>
      <c r="J78" s="139">
        <f t="shared" si="99"/>
        <v>0</v>
      </c>
      <c r="K78" s="136">
        <v>0.0</v>
      </c>
      <c r="L78" s="136">
        <v>0.0</v>
      </c>
      <c r="M78" s="136">
        <v>0.0</v>
      </c>
      <c r="N78" s="140">
        <f t="shared" si="100"/>
        <v>0</v>
      </c>
      <c r="O78" s="136">
        <v>0.0</v>
      </c>
      <c r="P78" s="136">
        <v>0.0</v>
      </c>
      <c r="Q78" s="136">
        <v>0.0</v>
      </c>
      <c r="R78" s="141">
        <f t="shared" si="101"/>
        <v>0</v>
      </c>
      <c r="S78" s="142">
        <f t="shared" si="102"/>
        <v>0</v>
      </c>
    </row>
    <row r="79" ht="21.75" customHeight="1">
      <c r="B79" s="135" t="s">
        <v>185</v>
      </c>
      <c r="C79" s="136">
        <v>0.0</v>
      </c>
      <c r="D79" s="136">
        <v>0.0</v>
      </c>
      <c r="E79" s="136">
        <v>0.0</v>
      </c>
      <c r="F79" s="137">
        <f t="shared" si="98"/>
        <v>0</v>
      </c>
      <c r="G79" s="136">
        <v>0.0</v>
      </c>
      <c r="H79" s="136">
        <v>0.0</v>
      </c>
      <c r="I79" s="136">
        <v>0.0</v>
      </c>
      <c r="J79" s="139">
        <f t="shared" si="99"/>
        <v>0</v>
      </c>
      <c r="K79" s="136">
        <v>0.0</v>
      </c>
      <c r="L79" s="136">
        <v>0.0</v>
      </c>
      <c r="M79" s="136">
        <v>0.0</v>
      </c>
      <c r="N79" s="140">
        <f t="shared" si="100"/>
        <v>0</v>
      </c>
      <c r="O79" s="136">
        <v>0.0</v>
      </c>
      <c r="P79" s="136">
        <v>0.0</v>
      </c>
      <c r="Q79" s="136">
        <v>0.0</v>
      </c>
      <c r="R79" s="141">
        <f t="shared" si="101"/>
        <v>0</v>
      </c>
      <c r="S79" s="142">
        <f t="shared" si="102"/>
        <v>0</v>
      </c>
    </row>
    <row r="80" ht="21.75" customHeight="1">
      <c r="B80" s="135" t="s">
        <v>186</v>
      </c>
      <c r="C80" s="136">
        <v>0.0</v>
      </c>
      <c r="D80" s="136">
        <v>0.0</v>
      </c>
      <c r="E80" s="136">
        <v>0.0</v>
      </c>
      <c r="F80" s="137">
        <f t="shared" si="98"/>
        <v>0</v>
      </c>
      <c r="G80" s="136">
        <v>0.0</v>
      </c>
      <c r="H80" s="136">
        <v>0.0</v>
      </c>
      <c r="I80" s="136">
        <v>0.0</v>
      </c>
      <c r="J80" s="139">
        <f t="shared" si="99"/>
        <v>0</v>
      </c>
      <c r="K80" s="136">
        <v>0.0</v>
      </c>
      <c r="L80" s="136">
        <v>0.0</v>
      </c>
      <c r="M80" s="136">
        <v>0.0</v>
      </c>
      <c r="N80" s="140">
        <f t="shared" si="100"/>
        <v>0</v>
      </c>
      <c r="O80" s="136">
        <v>0.0</v>
      </c>
      <c r="P80" s="136">
        <v>0.0</v>
      </c>
      <c r="Q80" s="136">
        <v>0.0</v>
      </c>
      <c r="R80" s="141">
        <f t="shared" si="101"/>
        <v>0</v>
      </c>
      <c r="S80" s="142">
        <f t="shared" si="102"/>
        <v>0</v>
      </c>
    </row>
    <row r="81" ht="21.75" customHeight="1">
      <c r="B81" s="135" t="s">
        <v>187</v>
      </c>
      <c r="C81" s="136">
        <v>0.0</v>
      </c>
      <c r="D81" s="136">
        <v>0.0</v>
      </c>
      <c r="E81" s="136">
        <v>0.0</v>
      </c>
      <c r="F81" s="137">
        <f t="shared" si="98"/>
        <v>0</v>
      </c>
      <c r="G81" s="136">
        <v>0.0</v>
      </c>
      <c r="H81" s="136">
        <v>0.0</v>
      </c>
      <c r="I81" s="136">
        <v>0.0</v>
      </c>
      <c r="J81" s="139">
        <f t="shared" si="99"/>
        <v>0</v>
      </c>
      <c r="K81" s="136">
        <v>0.0</v>
      </c>
      <c r="L81" s="136">
        <v>0.0</v>
      </c>
      <c r="M81" s="136">
        <v>0.0</v>
      </c>
      <c r="N81" s="140">
        <f t="shared" si="100"/>
        <v>0</v>
      </c>
      <c r="O81" s="136">
        <v>0.0</v>
      </c>
      <c r="P81" s="136">
        <v>0.0</v>
      </c>
      <c r="Q81" s="136">
        <v>0.0</v>
      </c>
      <c r="R81" s="141">
        <f t="shared" si="101"/>
        <v>0</v>
      </c>
      <c r="S81" s="142">
        <f t="shared" si="102"/>
        <v>0</v>
      </c>
    </row>
    <row r="82" ht="21.75" customHeight="1">
      <c r="B82" s="135" t="s">
        <v>188</v>
      </c>
      <c r="C82" s="136">
        <v>0.0</v>
      </c>
      <c r="D82" s="136">
        <v>0.0</v>
      </c>
      <c r="E82" s="136">
        <v>0.0</v>
      </c>
      <c r="F82" s="137">
        <f t="shared" si="98"/>
        <v>0</v>
      </c>
      <c r="G82" s="136">
        <v>0.0</v>
      </c>
      <c r="H82" s="136">
        <v>0.0</v>
      </c>
      <c r="I82" s="136">
        <v>0.0</v>
      </c>
      <c r="J82" s="139">
        <f t="shared" si="99"/>
        <v>0</v>
      </c>
      <c r="K82" s="136">
        <v>0.0</v>
      </c>
      <c r="L82" s="136">
        <v>0.0</v>
      </c>
      <c r="M82" s="136">
        <v>0.0</v>
      </c>
      <c r="N82" s="140">
        <f t="shared" si="100"/>
        <v>0</v>
      </c>
      <c r="O82" s="136">
        <v>0.0</v>
      </c>
      <c r="P82" s="136">
        <v>0.0</v>
      </c>
      <c r="Q82" s="136">
        <v>0.0</v>
      </c>
      <c r="R82" s="141">
        <f t="shared" si="101"/>
        <v>0</v>
      </c>
      <c r="S82" s="142">
        <f t="shared" si="102"/>
        <v>0</v>
      </c>
    </row>
    <row r="83" ht="21.75" customHeight="1">
      <c r="B83" s="135" t="s">
        <v>189</v>
      </c>
      <c r="C83" s="136">
        <v>0.0</v>
      </c>
      <c r="D83" s="136">
        <v>0.0</v>
      </c>
      <c r="E83" s="136">
        <v>0.0</v>
      </c>
      <c r="F83" s="137">
        <f t="shared" si="98"/>
        <v>0</v>
      </c>
      <c r="G83" s="136">
        <v>0.0</v>
      </c>
      <c r="H83" s="136">
        <v>0.0</v>
      </c>
      <c r="I83" s="136">
        <v>0.0</v>
      </c>
      <c r="J83" s="139">
        <f t="shared" si="99"/>
        <v>0</v>
      </c>
      <c r="K83" s="136">
        <v>0.0</v>
      </c>
      <c r="L83" s="136">
        <v>0.0</v>
      </c>
      <c r="M83" s="136">
        <v>0.0</v>
      </c>
      <c r="N83" s="140">
        <f t="shared" si="100"/>
        <v>0</v>
      </c>
      <c r="O83" s="136">
        <v>0.0</v>
      </c>
      <c r="P83" s="136">
        <v>0.0</v>
      </c>
      <c r="Q83" s="136">
        <v>0.0</v>
      </c>
      <c r="R83" s="141">
        <f t="shared" si="101"/>
        <v>0</v>
      </c>
      <c r="S83" s="142">
        <f t="shared" si="102"/>
        <v>0</v>
      </c>
    </row>
    <row r="84" ht="21.75" customHeight="1">
      <c r="B84" s="135" t="s">
        <v>190</v>
      </c>
      <c r="C84" s="136">
        <v>0.0</v>
      </c>
      <c r="D84" s="136">
        <v>0.0</v>
      </c>
      <c r="E84" s="136">
        <v>0.0</v>
      </c>
      <c r="F84" s="137">
        <f t="shared" si="98"/>
        <v>0</v>
      </c>
      <c r="G84" s="136">
        <v>0.0</v>
      </c>
      <c r="H84" s="136">
        <v>0.0</v>
      </c>
      <c r="I84" s="136">
        <v>0.0</v>
      </c>
      <c r="J84" s="139">
        <f t="shared" si="99"/>
        <v>0</v>
      </c>
      <c r="K84" s="136">
        <v>0.0</v>
      </c>
      <c r="L84" s="136">
        <v>0.0</v>
      </c>
      <c r="M84" s="136">
        <v>0.0</v>
      </c>
      <c r="N84" s="140">
        <f t="shared" si="100"/>
        <v>0</v>
      </c>
      <c r="O84" s="136">
        <v>0.0</v>
      </c>
      <c r="P84" s="136">
        <v>0.0</v>
      </c>
      <c r="Q84" s="136">
        <v>0.0</v>
      </c>
      <c r="R84" s="141">
        <f t="shared" si="101"/>
        <v>0</v>
      </c>
      <c r="S84" s="142">
        <f t="shared" si="102"/>
        <v>0</v>
      </c>
    </row>
    <row r="85" ht="21.75" customHeight="1">
      <c r="B85" s="135" t="s">
        <v>191</v>
      </c>
      <c r="C85" s="136">
        <v>0.0</v>
      </c>
      <c r="D85" s="136">
        <v>0.0</v>
      </c>
      <c r="E85" s="136">
        <v>0.0</v>
      </c>
      <c r="F85" s="137">
        <f t="shared" si="98"/>
        <v>0</v>
      </c>
      <c r="G85" s="136">
        <v>0.0</v>
      </c>
      <c r="H85" s="136">
        <v>0.0</v>
      </c>
      <c r="I85" s="136">
        <v>0.0</v>
      </c>
      <c r="J85" s="139">
        <f t="shared" si="99"/>
        <v>0</v>
      </c>
      <c r="K85" s="136">
        <v>0.0</v>
      </c>
      <c r="L85" s="136">
        <v>0.0</v>
      </c>
      <c r="M85" s="136">
        <v>0.0</v>
      </c>
      <c r="N85" s="140">
        <f t="shared" si="100"/>
        <v>0</v>
      </c>
      <c r="O85" s="136">
        <v>0.0</v>
      </c>
      <c r="P85" s="136">
        <v>0.0</v>
      </c>
      <c r="Q85" s="136">
        <v>0.0</v>
      </c>
      <c r="R85" s="141">
        <f t="shared" si="101"/>
        <v>0</v>
      </c>
      <c r="S85" s="142">
        <f t="shared" si="102"/>
        <v>0</v>
      </c>
    </row>
    <row r="86" ht="21.75" customHeight="1">
      <c r="B86" s="135" t="s">
        <v>192</v>
      </c>
      <c r="C86" s="136">
        <v>0.0</v>
      </c>
      <c r="D86" s="136">
        <v>0.0</v>
      </c>
      <c r="E86" s="136">
        <v>0.0</v>
      </c>
      <c r="F86" s="137">
        <f t="shared" si="98"/>
        <v>0</v>
      </c>
      <c r="G86" s="136">
        <v>0.0</v>
      </c>
      <c r="H86" s="136">
        <v>0.0</v>
      </c>
      <c r="I86" s="136">
        <v>0.0</v>
      </c>
      <c r="J86" s="139">
        <f t="shared" si="99"/>
        <v>0</v>
      </c>
      <c r="K86" s="136">
        <v>0.0</v>
      </c>
      <c r="L86" s="136">
        <v>0.0</v>
      </c>
      <c r="M86" s="136">
        <v>0.0</v>
      </c>
      <c r="N86" s="140">
        <f t="shared" si="100"/>
        <v>0</v>
      </c>
      <c r="O86" s="136">
        <v>0.0</v>
      </c>
      <c r="P86" s="136">
        <v>0.0</v>
      </c>
      <c r="Q86" s="136">
        <v>0.0</v>
      </c>
      <c r="R86" s="141">
        <f t="shared" si="101"/>
        <v>0</v>
      </c>
      <c r="S86" s="142">
        <f t="shared" si="102"/>
        <v>0</v>
      </c>
    </row>
    <row r="87" ht="21.75" customHeight="1">
      <c r="B87" s="135" t="s">
        <v>76</v>
      </c>
      <c r="C87" s="136">
        <v>0.0</v>
      </c>
      <c r="D87" s="136">
        <v>0.0</v>
      </c>
      <c r="E87" s="136">
        <v>0.0</v>
      </c>
      <c r="F87" s="137">
        <f t="shared" si="98"/>
        <v>0</v>
      </c>
      <c r="G87" s="136">
        <v>0.0</v>
      </c>
      <c r="H87" s="136">
        <v>0.0</v>
      </c>
      <c r="I87" s="136">
        <v>0.0</v>
      </c>
      <c r="J87" s="139">
        <f t="shared" si="99"/>
        <v>0</v>
      </c>
      <c r="K87" s="136">
        <v>0.0</v>
      </c>
      <c r="L87" s="136">
        <v>0.0</v>
      </c>
      <c r="M87" s="136">
        <v>0.0</v>
      </c>
      <c r="N87" s="140">
        <f t="shared" si="100"/>
        <v>0</v>
      </c>
      <c r="O87" s="136">
        <v>0.0</v>
      </c>
      <c r="P87" s="136">
        <v>0.0</v>
      </c>
      <c r="Q87" s="136">
        <v>0.0</v>
      </c>
      <c r="R87" s="141">
        <f t="shared" si="101"/>
        <v>0</v>
      </c>
      <c r="S87" s="142">
        <f t="shared" si="102"/>
        <v>0</v>
      </c>
    </row>
    <row r="88" ht="21.75" customHeight="1">
      <c r="B88" s="135" t="s">
        <v>76</v>
      </c>
      <c r="C88" s="136">
        <v>0.0</v>
      </c>
      <c r="D88" s="136">
        <v>0.0</v>
      </c>
      <c r="E88" s="136">
        <v>0.0</v>
      </c>
      <c r="F88" s="137">
        <f t="shared" si="98"/>
        <v>0</v>
      </c>
      <c r="G88" s="136">
        <v>0.0</v>
      </c>
      <c r="H88" s="136">
        <v>0.0</v>
      </c>
      <c r="I88" s="136">
        <v>0.0</v>
      </c>
      <c r="J88" s="139">
        <f t="shared" si="99"/>
        <v>0</v>
      </c>
      <c r="K88" s="136">
        <v>0.0</v>
      </c>
      <c r="L88" s="136">
        <v>0.0</v>
      </c>
      <c r="M88" s="136">
        <v>0.0</v>
      </c>
      <c r="N88" s="140">
        <f t="shared" si="100"/>
        <v>0</v>
      </c>
      <c r="O88" s="136">
        <v>0.0</v>
      </c>
      <c r="P88" s="136">
        <v>0.0</v>
      </c>
      <c r="Q88" s="136">
        <v>0.0</v>
      </c>
      <c r="R88" s="141">
        <f t="shared" si="101"/>
        <v>0</v>
      </c>
      <c r="S88" s="142">
        <f t="shared" si="102"/>
        <v>0</v>
      </c>
    </row>
    <row r="89" ht="21.75" customHeight="1">
      <c r="B89" s="135" t="s">
        <v>76</v>
      </c>
      <c r="C89" s="136">
        <v>0.0</v>
      </c>
      <c r="D89" s="136">
        <v>0.0</v>
      </c>
      <c r="E89" s="136">
        <v>0.0</v>
      </c>
      <c r="F89" s="137">
        <f t="shared" si="98"/>
        <v>0</v>
      </c>
      <c r="G89" s="136">
        <v>0.0</v>
      </c>
      <c r="H89" s="136">
        <v>0.0</v>
      </c>
      <c r="I89" s="136">
        <v>0.0</v>
      </c>
      <c r="J89" s="139">
        <f t="shared" si="99"/>
        <v>0</v>
      </c>
      <c r="K89" s="136">
        <v>0.0</v>
      </c>
      <c r="L89" s="136">
        <v>0.0</v>
      </c>
      <c r="M89" s="136">
        <v>0.0</v>
      </c>
      <c r="N89" s="140">
        <f t="shared" si="100"/>
        <v>0</v>
      </c>
      <c r="O89" s="136">
        <v>0.0</v>
      </c>
      <c r="P89" s="136">
        <v>0.0</v>
      </c>
      <c r="Q89" s="136">
        <v>0.0</v>
      </c>
      <c r="R89" s="141">
        <f t="shared" si="101"/>
        <v>0</v>
      </c>
      <c r="S89" s="142">
        <f t="shared" si="102"/>
        <v>0</v>
      </c>
    </row>
    <row r="90" ht="21.75" customHeight="1">
      <c r="B90" s="143" t="s">
        <v>193</v>
      </c>
      <c r="C90" s="180">
        <f t="shared" ref="C90:E90" si="103">SUM(C76:C89)</f>
        <v>0</v>
      </c>
      <c r="D90" s="180">
        <f t="shared" si="103"/>
        <v>0</v>
      </c>
      <c r="E90" s="180">
        <f t="shared" si="103"/>
        <v>0</v>
      </c>
      <c r="F90" s="137">
        <f t="shared" si="98"/>
        <v>0</v>
      </c>
      <c r="G90" s="181">
        <f t="shared" ref="G90:I90" si="104">SUM(G76:G89)</f>
        <v>0</v>
      </c>
      <c r="H90" s="182">
        <f t="shared" si="104"/>
        <v>0</v>
      </c>
      <c r="I90" s="182">
        <f t="shared" si="104"/>
        <v>0</v>
      </c>
      <c r="J90" s="139">
        <f t="shared" si="99"/>
        <v>0</v>
      </c>
      <c r="K90" s="183">
        <f t="shared" ref="K90:M90" si="105">SUM(K76:K89)</f>
        <v>0</v>
      </c>
      <c r="L90" s="184">
        <f t="shared" si="105"/>
        <v>0</v>
      </c>
      <c r="M90" s="184">
        <f t="shared" si="105"/>
        <v>0</v>
      </c>
      <c r="N90" s="140">
        <f t="shared" si="100"/>
        <v>0</v>
      </c>
      <c r="O90" s="185">
        <f t="shared" ref="O90:Q90" si="106">SUM(O76:O89)</f>
        <v>0</v>
      </c>
      <c r="P90" s="186">
        <f t="shared" si="106"/>
        <v>0</v>
      </c>
      <c r="Q90" s="186">
        <f t="shared" si="106"/>
        <v>0</v>
      </c>
      <c r="R90" s="141">
        <f t="shared" si="101"/>
        <v>0</v>
      </c>
      <c r="S90" s="151">
        <f t="shared" si="102"/>
        <v>0</v>
      </c>
    </row>
    <row r="91" ht="21.75" customHeight="1">
      <c r="B91" s="131" t="s">
        <v>194</v>
      </c>
      <c r="C91" s="132"/>
      <c r="D91" s="132"/>
      <c r="E91" s="132"/>
      <c r="F91" s="133"/>
      <c r="G91" s="134"/>
      <c r="H91" s="132"/>
      <c r="I91" s="132"/>
      <c r="J91" s="133"/>
      <c r="K91" s="134"/>
      <c r="L91" s="132"/>
      <c r="M91" s="132"/>
      <c r="N91" s="133"/>
      <c r="O91" s="134"/>
      <c r="P91" s="132"/>
      <c r="Q91" s="132"/>
      <c r="R91" s="133"/>
      <c r="S91" s="134"/>
    </row>
    <row r="92" ht="21.75" customHeight="1">
      <c r="B92" s="135" t="s">
        <v>195</v>
      </c>
      <c r="C92" s="136">
        <v>0.0</v>
      </c>
      <c r="D92" s="136">
        <v>0.0</v>
      </c>
      <c r="E92" s="136">
        <v>0.0</v>
      </c>
      <c r="F92" s="137">
        <f t="shared" ref="F92:F100" si="107">SUM(C92:E92)</f>
        <v>0</v>
      </c>
      <c r="G92" s="136">
        <v>0.0</v>
      </c>
      <c r="H92" s="136">
        <v>0.0</v>
      </c>
      <c r="I92" s="136">
        <v>0.0</v>
      </c>
      <c r="J92" s="139">
        <f t="shared" ref="J92:J100" si="108">SUM(G92:I92)</f>
        <v>0</v>
      </c>
      <c r="K92" s="136">
        <v>0.0</v>
      </c>
      <c r="L92" s="136">
        <v>0.0</v>
      </c>
      <c r="M92" s="136">
        <v>0.0</v>
      </c>
      <c r="N92" s="140">
        <f t="shared" ref="N92:N100" si="109">SUM(K92:M92)</f>
        <v>0</v>
      </c>
      <c r="O92" s="136">
        <v>0.0</v>
      </c>
      <c r="P92" s="136">
        <v>0.0</v>
      </c>
      <c r="Q92" s="136">
        <v>0.0</v>
      </c>
      <c r="R92" s="141">
        <f t="shared" ref="R92:R100" si="110">SUM(O92:Q92)</f>
        <v>0</v>
      </c>
      <c r="S92" s="142">
        <f t="shared" ref="S92:S100" si="111">SUM(F92,J92,N92,R92)</f>
        <v>0</v>
      </c>
    </row>
    <row r="93" ht="21.75" customHeight="1">
      <c r="B93" s="135" t="s">
        <v>196</v>
      </c>
      <c r="C93" s="136">
        <v>0.0</v>
      </c>
      <c r="D93" s="136">
        <v>0.0</v>
      </c>
      <c r="E93" s="136">
        <v>0.0</v>
      </c>
      <c r="F93" s="137">
        <f t="shared" si="107"/>
        <v>0</v>
      </c>
      <c r="G93" s="136">
        <v>0.0</v>
      </c>
      <c r="H93" s="136">
        <v>0.0</v>
      </c>
      <c r="I93" s="136">
        <v>0.0</v>
      </c>
      <c r="J93" s="139">
        <f t="shared" si="108"/>
        <v>0</v>
      </c>
      <c r="K93" s="136">
        <v>0.0</v>
      </c>
      <c r="L93" s="136">
        <v>0.0</v>
      </c>
      <c r="M93" s="136">
        <v>0.0</v>
      </c>
      <c r="N93" s="140">
        <f t="shared" si="109"/>
        <v>0</v>
      </c>
      <c r="O93" s="136">
        <v>0.0</v>
      </c>
      <c r="P93" s="136">
        <v>0.0</v>
      </c>
      <c r="Q93" s="136">
        <v>0.0</v>
      </c>
      <c r="R93" s="141">
        <f t="shared" si="110"/>
        <v>0</v>
      </c>
      <c r="S93" s="142">
        <f t="shared" si="111"/>
        <v>0</v>
      </c>
    </row>
    <row r="94" ht="21.75" customHeight="1">
      <c r="B94" s="135" t="s">
        <v>197</v>
      </c>
      <c r="C94" s="136">
        <v>0.0</v>
      </c>
      <c r="D94" s="136">
        <v>0.0</v>
      </c>
      <c r="E94" s="136">
        <v>0.0</v>
      </c>
      <c r="F94" s="137">
        <f t="shared" si="107"/>
        <v>0</v>
      </c>
      <c r="G94" s="136">
        <v>0.0</v>
      </c>
      <c r="H94" s="136">
        <v>0.0</v>
      </c>
      <c r="I94" s="136">
        <v>0.0</v>
      </c>
      <c r="J94" s="139">
        <f t="shared" si="108"/>
        <v>0</v>
      </c>
      <c r="K94" s="136">
        <v>0.0</v>
      </c>
      <c r="L94" s="136">
        <v>0.0</v>
      </c>
      <c r="M94" s="136">
        <v>0.0</v>
      </c>
      <c r="N94" s="140">
        <f t="shared" si="109"/>
        <v>0</v>
      </c>
      <c r="O94" s="136">
        <v>0.0</v>
      </c>
      <c r="P94" s="136">
        <v>0.0</v>
      </c>
      <c r="Q94" s="136">
        <v>0.0</v>
      </c>
      <c r="R94" s="141">
        <f t="shared" si="110"/>
        <v>0</v>
      </c>
      <c r="S94" s="142">
        <f t="shared" si="111"/>
        <v>0</v>
      </c>
    </row>
    <row r="95" ht="21.75" customHeight="1">
      <c r="B95" s="135" t="s">
        <v>75</v>
      </c>
      <c r="C95" s="136">
        <v>0.0</v>
      </c>
      <c r="D95" s="136">
        <v>0.0</v>
      </c>
      <c r="E95" s="136">
        <v>0.0</v>
      </c>
      <c r="F95" s="137">
        <f t="shared" si="107"/>
        <v>0</v>
      </c>
      <c r="G95" s="136">
        <v>0.0</v>
      </c>
      <c r="H95" s="136">
        <v>0.0</v>
      </c>
      <c r="I95" s="136">
        <v>0.0</v>
      </c>
      <c r="J95" s="139">
        <f t="shared" si="108"/>
        <v>0</v>
      </c>
      <c r="K95" s="136">
        <v>0.0</v>
      </c>
      <c r="L95" s="136">
        <v>0.0</v>
      </c>
      <c r="M95" s="136">
        <v>0.0</v>
      </c>
      <c r="N95" s="140">
        <f t="shared" si="109"/>
        <v>0</v>
      </c>
      <c r="O95" s="136">
        <v>0.0</v>
      </c>
      <c r="P95" s="136">
        <v>0.0</v>
      </c>
      <c r="Q95" s="136">
        <v>0.0</v>
      </c>
      <c r="R95" s="141">
        <f t="shared" si="110"/>
        <v>0</v>
      </c>
      <c r="S95" s="142">
        <f t="shared" si="111"/>
        <v>0</v>
      </c>
    </row>
    <row r="96" ht="21.75" customHeight="1">
      <c r="B96" s="135" t="s">
        <v>198</v>
      </c>
      <c r="C96" s="136">
        <v>0.0</v>
      </c>
      <c r="D96" s="136">
        <v>0.0</v>
      </c>
      <c r="E96" s="136">
        <v>0.0</v>
      </c>
      <c r="F96" s="137">
        <f t="shared" si="107"/>
        <v>0</v>
      </c>
      <c r="G96" s="136">
        <v>0.0</v>
      </c>
      <c r="H96" s="136">
        <v>0.0</v>
      </c>
      <c r="I96" s="136">
        <v>0.0</v>
      </c>
      <c r="J96" s="139">
        <f t="shared" si="108"/>
        <v>0</v>
      </c>
      <c r="K96" s="136">
        <v>0.0</v>
      </c>
      <c r="L96" s="136">
        <v>0.0</v>
      </c>
      <c r="M96" s="136">
        <v>0.0</v>
      </c>
      <c r="N96" s="140">
        <f t="shared" si="109"/>
        <v>0</v>
      </c>
      <c r="O96" s="136">
        <v>0.0</v>
      </c>
      <c r="P96" s="136">
        <v>0.0</v>
      </c>
      <c r="Q96" s="136">
        <v>0.0</v>
      </c>
      <c r="R96" s="141">
        <f t="shared" si="110"/>
        <v>0</v>
      </c>
      <c r="S96" s="142">
        <f t="shared" si="111"/>
        <v>0</v>
      </c>
    </row>
    <row r="97" ht="21.75" customHeight="1">
      <c r="B97" s="135" t="s">
        <v>76</v>
      </c>
      <c r="C97" s="136">
        <v>0.0</v>
      </c>
      <c r="D97" s="136">
        <v>0.0</v>
      </c>
      <c r="E97" s="136">
        <v>0.0</v>
      </c>
      <c r="F97" s="137">
        <f t="shared" si="107"/>
        <v>0</v>
      </c>
      <c r="G97" s="136">
        <v>0.0</v>
      </c>
      <c r="H97" s="136">
        <v>0.0</v>
      </c>
      <c r="I97" s="136">
        <v>0.0</v>
      </c>
      <c r="J97" s="139">
        <f t="shared" si="108"/>
        <v>0</v>
      </c>
      <c r="K97" s="136">
        <v>0.0</v>
      </c>
      <c r="L97" s="136">
        <v>0.0</v>
      </c>
      <c r="M97" s="136">
        <v>0.0</v>
      </c>
      <c r="N97" s="140">
        <f t="shared" si="109"/>
        <v>0</v>
      </c>
      <c r="O97" s="136">
        <v>0.0</v>
      </c>
      <c r="P97" s="136">
        <v>0.0</v>
      </c>
      <c r="Q97" s="136">
        <v>0.0</v>
      </c>
      <c r="R97" s="141">
        <f t="shared" si="110"/>
        <v>0</v>
      </c>
      <c r="S97" s="142">
        <f t="shared" si="111"/>
        <v>0</v>
      </c>
    </row>
    <row r="98" ht="21.75" customHeight="1">
      <c r="B98" s="135" t="s">
        <v>76</v>
      </c>
      <c r="C98" s="136">
        <v>0.0</v>
      </c>
      <c r="D98" s="136">
        <v>0.0</v>
      </c>
      <c r="E98" s="136">
        <v>0.0</v>
      </c>
      <c r="F98" s="137">
        <f t="shared" si="107"/>
        <v>0</v>
      </c>
      <c r="G98" s="136">
        <v>0.0</v>
      </c>
      <c r="H98" s="136">
        <v>0.0</v>
      </c>
      <c r="I98" s="136">
        <v>0.0</v>
      </c>
      <c r="J98" s="139">
        <f t="shared" si="108"/>
        <v>0</v>
      </c>
      <c r="K98" s="136">
        <v>0.0</v>
      </c>
      <c r="L98" s="136">
        <v>0.0</v>
      </c>
      <c r="M98" s="136">
        <v>0.0</v>
      </c>
      <c r="N98" s="140">
        <f t="shared" si="109"/>
        <v>0</v>
      </c>
      <c r="O98" s="136">
        <v>0.0</v>
      </c>
      <c r="P98" s="136">
        <v>0.0</v>
      </c>
      <c r="Q98" s="136">
        <v>0.0</v>
      </c>
      <c r="R98" s="141">
        <f t="shared" si="110"/>
        <v>0</v>
      </c>
      <c r="S98" s="142">
        <f t="shared" si="111"/>
        <v>0</v>
      </c>
    </row>
    <row r="99" ht="21.75" customHeight="1">
      <c r="B99" s="135" t="s">
        <v>76</v>
      </c>
      <c r="C99" s="136">
        <v>0.0</v>
      </c>
      <c r="D99" s="136">
        <v>0.0</v>
      </c>
      <c r="E99" s="136">
        <v>0.0</v>
      </c>
      <c r="F99" s="137">
        <f t="shared" si="107"/>
        <v>0</v>
      </c>
      <c r="G99" s="136">
        <v>0.0</v>
      </c>
      <c r="H99" s="136">
        <v>0.0</v>
      </c>
      <c r="I99" s="136">
        <v>0.0</v>
      </c>
      <c r="J99" s="139">
        <f t="shared" si="108"/>
        <v>0</v>
      </c>
      <c r="K99" s="136">
        <v>0.0</v>
      </c>
      <c r="L99" s="136">
        <v>0.0</v>
      </c>
      <c r="M99" s="136">
        <v>0.0</v>
      </c>
      <c r="N99" s="140">
        <f t="shared" si="109"/>
        <v>0</v>
      </c>
      <c r="O99" s="136">
        <v>0.0</v>
      </c>
      <c r="P99" s="136">
        <v>0.0</v>
      </c>
      <c r="Q99" s="136">
        <v>0.0</v>
      </c>
      <c r="R99" s="141">
        <f t="shared" si="110"/>
        <v>0</v>
      </c>
      <c r="S99" s="142">
        <f t="shared" si="111"/>
        <v>0</v>
      </c>
    </row>
    <row r="100" ht="21.75" customHeight="1">
      <c r="B100" s="143" t="s">
        <v>199</v>
      </c>
      <c r="C100" s="180">
        <f t="shared" ref="C100:E100" si="112">SUM(C92:C99)</f>
        <v>0</v>
      </c>
      <c r="D100" s="180">
        <f t="shared" si="112"/>
        <v>0</v>
      </c>
      <c r="E100" s="180">
        <f t="shared" si="112"/>
        <v>0</v>
      </c>
      <c r="F100" s="137">
        <f t="shared" si="107"/>
        <v>0</v>
      </c>
      <c r="G100" s="181">
        <f t="shared" ref="G100:I100" si="113">SUM(G92:G99)</f>
        <v>0</v>
      </c>
      <c r="H100" s="182">
        <f t="shared" si="113"/>
        <v>0</v>
      </c>
      <c r="I100" s="182">
        <f t="shared" si="113"/>
        <v>0</v>
      </c>
      <c r="J100" s="139">
        <f t="shared" si="108"/>
        <v>0</v>
      </c>
      <c r="K100" s="183">
        <f t="shared" ref="K100:M100" si="114">SUM(K92:K99)</f>
        <v>0</v>
      </c>
      <c r="L100" s="184">
        <f t="shared" si="114"/>
        <v>0</v>
      </c>
      <c r="M100" s="184">
        <f t="shared" si="114"/>
        <v>0</v>
      </c>
      <c r="N100" s="140">
        <f t="shared" si="109"/>
        <v>0</v>
      </c>
      <c r="O100" s="185">
        <f t="shared" ref="O100:Q100" si="115">SUM(O92:O99)</f>
        <v>0</v>
      </c>
      <c r="P100" s="186">
        <f t="shared" si="115"/>
        <v>0</v>
      </c>
      <c r="Q100" s="186">
        <f t="shared" si="115"/>
        <v>0</v>
      </c>
      <c r="R100" s="141">
        <f t="shared" si="110"/>
        <v>0</v>
      </c>
      <c r="S100" s="151">
        <f t="shared" si="111"/>
        <v>0</v>
      </c>
    </row>
    <row r="101" ht="21.75" customHeight="1">
      <c r="B101" s="131" t="s">
        <v>200</v>
      </c>
      <c r="C101" s="132"/>
      <c r="D101" s="132"/>
      <c r="E101" s="132"/>
      <c r="F101" s="133"/>
      <c r="G101" s="134"/>
      <c r="H101" s="132"/>
      <c r="I101" s="132"/>
      <c r="J101" s="133"/>
      <c r="K101" s="134"/>
      <c r="L101" s="132"/>
      <c r="M101" s="132"/>
      <c r="N101" s="133"/>
      <c r="O101" s="134"/>
      <c r="P101" s="132"/>
      <c r="Q101" s="132"/>
      <c r="R101" s="133"/>
      <c r="S101" s="134"/>
    </row>
    <row r="102" ht="21.75" customHeight="1">
      <c r="B102" s="135" t="s">
        <v>76</v>
      </c>
      <c r="C102" s="136">
        <v>0.0</v>
      </c>
      <c r="D102" s="136">
        <v>0.0</v>
      </c>
      <c r="E102" s="136">
        <v>0.0</v>
      </c>
      <c r="F102" s="137">
        <f t="shared" ref="F102:F111" si="116">SUM(C102:E102)</f>
        <v>0</v>
      </c>
      <c r="G102" s="136">
        <v>0.0</v>
      </c>
      <c r="H102" s="136">
        <v>0.0</v>
      </c>
      <c r="I102" s="136">
        <v>0.0</v>
      </c>
      <c r="J102" s="139">
        <f t="shared" ref="J102:J111" si="117">SUM(G102:I102)</f>
        <v>0</v>
      </c>
      <c r="K102" s="136">
        <v>0.0</v>
      </c>
      <c r="L102" s="136">
        <v>0.0</v>
      </c>
      <c r="M102" s="136">
        <v>0.0</v>
      </c>
      <c r="N102" s="140">
        <f t="shared" ref="N102:N111" si="118">SUM(K102:M102)</f>
        <v>0</v>
      </c>
      <c r="O102" s="136">
        <v>0.0</v>
      </c>
      <c r="P102" s="136">
        <v>0.0</v>
      </c>
      <c r="Q102" s="136">
        <v>0.0</v>
      </c>
      <c r="R102" s="141">
        <f t="shared" ref="R102:R111" si="119">SUM(O102:Q102)</f>
        <v>0</v>
      </c>
      <c r="S102" s="142">
        <f t="shared" ref="S102:S111" si="120">SUM(F102,J102,N102,R102)</f>
        <v>0</v>
      </c>
    </row>
    <row r="103" ht="21.75" customHeight="1">
      <c r="B103" s="135" t="s">
        <v>76</v>
      </c>
      <c r="C103" s="136">
        <v>0.0</v>
      </c>
      <c r="D103" s="136">
        <v>0.0</v>
      </c>
      <c r="E103" s="136">
        <v>0.0</v>
      </c>
      <c r="F103" s="137">
        <f t="shared" si="116"/>
        <v>0</v>
      </c>
      <c r="G103" s="136">
        <v>0.0</v>
      </c>
      <c r="H103" s="136">
        <v>0.0</v>
      </c>
      <c r="I103" s="136">
        <v>0.0</v>
      </c>
      <c r="J103" s="139">
        <f t="shared" si="117"/>
        <v>0</v>
      </c>
      <c r="K103" s="136">
        <v>0.0</v>
      </c>
      <c r="L103" s="136">
        <v>0.0</v>
      </c>
      <c r="M103" s="136">
        <v>0.0</v>
      </c>
      <c r="N103" s="140">
        <f t="shared" si="118"/>
        <v>0</v>
      </c>
      <c r="O103" s="136">
        <v>0.0</v>
      </c>
      <c r="P103" s="136">
        <v>0.0</v>
      </c>
      <c r="Q103" s="136">
        <v>0.0</v>
      </c>
      <c r="R103" s="141">
        <f t="shared" si="119"/>
        <v>0</v>
      </c>
      <c r="S103" s="142">
        <f t="shared" si="120"/>
        <v>0</v>
      </c>
    </row>
    <row r="104" ht="21.75" customHeight="1">
      <c r="B104" s="135" t="s">
        <v>76</v>
      </c>
      <c r="C104" s="136">
        <v>0.0</v>
      </c>
      <c r="D104" s="136">
        <v>0.0</v>
      </c>
      <c r="E104" s="136">
        <v>0.0</v>
      </c>
      <c r="F104" s="137">
        <f t="shared" si="116"/>
        <v>0</v>
      </c>
      <c r="G104" s="136">
        <v>0.0</v>
      </c>
      <c r="H104" s="136">
        <v>0.0</v>
      </c>
      <c r="I104" s="136">
        <v>0.0</v>
      </c>
      <c r="J104" s="139">
        <f t="shared" si="117"/>
        <v>0</v>
      </c>
      <c r="K104" s="136">
        <v>0.0</v>
      </c>
      <c r="L104" s="136">
        <v>0.0</v>
      </c>
      <c r="M104" s="136">
        <v>0.0</v>
      </c>
      <c r="N104" s="140">
        <f t="shared" si="118"/>
        <v>0</v>
      </c>
      <c r="O104" s="136">
        <v>0.0</v>
      </c>
      <c r="P104" s="136">
        <v>0.0</v>
      </c>
      <c r="Q104" s="136">
        <v>0.0</v>
      </c>
      <c r="R104" s="141">
        <f t="shared" si="119"/>
        <v>0</v>
      </c>
      <c r="S104" s="142">
        <f t="shared" si="120"/>
        <v>0</v>
      </c>
    </row>
    <row r="105" ht="21.75" customHeight="1">
      <c r="B105" s="135" t="s">
        <v>76</v>
      </c>
      <c r="C105" s="136">
        <v>0.0</v>
      </c>
      <c r="D105" s="136">
        <v>0.0</v>
      </c>
      <c r="E105" s="136">
        <v>0.0</v>
      </c>
      <c r="F105" s="137">
        <f t="shared" si="116"/>
        <v>0</v>
      </c>
      <c r="G105" s="136">
        <v>0.0</v>
      </c>
      <c r="H105" s="136">
        <v>0.0</v>
      </c>
      <c r="I105" s="136">
        <v>0.0</v>
      </c>
      <c r="J105" s="139">
        <f t="shared" si="117"/>
        <v>0</v>
      </c>
      <c r="K105" s="136">
        <v>0.0</v>
      </c>
      <c r="L105" s="136">
        <v>0.0</v>
      </c>
      <c r="M105" s="136">
        <v>0.0</v>
      </c>
      <c r="N105" s="140">
        <f t="shared" si="118"/>
        <v>0</v>
      </c>
      <c r="O105" s="136">
        <v>0.0</v>
      </c>
      <c r="P105" s="136">
        <v>0.0</v>
      </c>
      <c r="Q105" s="136">
        <v>0.0</v>
      </c>
      <c r="R105" s="141">
        <f t="shared" si="119"/>
        <v>0</v>
      </c>
      <c r="S105" s="142">
        <f t="shared" si="120"/>
        <v>0</v>
      </c>
    </row>
    <row r="106" ht="21.75" customHeight="1">
      <c r="B106" s="135" t="s">
        <v>76</v>
      </c>
      <c r="C106" s="136">
        <v>0.0</v>
      </c>
      <c r="D106" s="136">
        <v>0.0</v>
      </c>
      <c r="E106" s="136">
        <v>0.0</v>
      </c>
      <c r="F106" s="137">
        <f t="shared" si="116"/>
        <v>0</v>
      </c>
      <c r="G106" s="136">
        <v>0.0</v>
      </c>
      <c r="H106" s="136">
        <v>0.0</v>
      </c>
      <c r="I106" s="136">
        <v>0.0</v>
      </c>
      <c r="J106" s="139">
        <f t="shared" si="117"/>
        <v>0</v>
      </c>
      <c r="K106" s="136">
        <v>0.0</v>
      </c>
      <c r="L106" s="136">
        <v>0.0</v>
      </c>
      <c r="M106" s="136">
        <v>0.0</v>
      </c>
      <c r="N106" s="140">
        <f t="shared" si="118"/>
        <v>0</v>
      </c>
      <c r="O106" s="136">
        <v>0.0</v>
      </c>
      <c r="P106" s="136">
        <v>0.0</v>
      </c>
      <c r="Q106" s="136">
        <v>0.0</v>
      </c>
      <c r="R106" s="141">
        <f t="shared" si="119"/>
        <v>0</v>
      </c>
      <c r="S106" s="142">
        <f t="shared" si="120"/>
        <v>0</v>
      </c>
    </row>
    <row r="107" ht="21.75" customHeight="1">
      <c r="B107" s="135" t="s">
        <v>76</v>
      </c>
      <c r="C107" s="136">
        <v>0.0</v>
      </c>
      <c r="D107" s="136">
        <v>0.0</v>
      </c>
      <c r="E107" s="136">
        <v>0.0</v>
      </c>
      <c r="F107" s="137">
        <f t="shared" si="116"/>
        <v>0</v>
      </c>
      <c r="G107" s="136">
        <v>0.0</v>
      </c>
      <c r="H107" s="136">
        <v>0.0</v>
      </c>
      <c r="I107" s="136">
        <v>0.0</v>
      </c>
      <c r="J107" s="139">
        <f t="shared" si="117"/>
        <v>0</v>
      </c>
      <c r="K107" s="136">
        <v>0.0</v>
      </c>
      <c r="L107" s="136">
        <v>0.0</v>
      </c>
      <c r="M107" s="136">
        <v>0.0</v>
      </c>
      <c r="N107" s="140">
        <f t="shared" si="118"/>
        <v>0</v>
      </c>
      <c r="O107" s="136">
        <v>0.0</v>
      </c>
      <c r="P107" s="136">
        <v>0.0</v>
      </c>
      <c r="Q107" s="136">
        <v>0.0</v>
      </c>
      <c r="R107" s="141">
        <f t="shared" si="119"/>
        <v>0</v>
      </c>
      <c r="S107" s="142">
        <f t="shared" si="120"/>
        <v>0</v>
      </c>
    </row>
    <row r="108" ht="21.75" customHeight="1">
      <c r="B108" s="135" t="s">
        <v>76</v>
      </c>
      <c r="C108" s="136">
        <v>0.0</v>
      </c>
      <c r="D108" s="136">
        <v>0.0</v>
      </c>
      <c r="E108" s="136">
        <v>0.0</v>
      </c>
      <c r="F108" s="137">
        <f t="shared" si="116"/>
        <v>0</v>
      </c>
      <c r="G108" s="136">
        <v>0.0</v>
      </c>
      <c r="H108" s="136">
        <v>0.0</v>
      </c>
      <c r="I108" s="136">
        <v>0.0</v>
      </c>
      <c r="J108" s="139">
        <f t="shared" si="117"/>
        <v>0</v>
      </c>
      <c r="K108" s="136">
        <v>0.0</v>
      </c>
      <c r="L108" s="136">
        <v>0.0</v>
      </c>
      <c r="M108" s="136">
        <v>0.0</v>
      </c>
      <c r="N108" s="140">
        <f t="shared" si="118"/>
        <v>0</v>
      </c>
      <c r="O108" s="136">
        <v>0.0</v>
      </c>
      <c r="P108" s="136">
        <v>0.0</v>
      </c>
      <c r="Q108" s="136">
        <v>0.0</v>
      </c>
      <c r="R108" s="141">
        <f t="shared" si="119"/>
        <v>0</v>
      </c>
      <c r="S108" s="142">
        <f t="shared" si="120"/>
        <v>0</v>
      </c>
    </row>
    <row r="109" ht="21.75" customHeight="1">
      <c r="B109" s="135" t="s">
        <v>76</v>
      </c>
      <c r="C109" s="136">
        <v>0.0</v>
      </c>
      <c r="D109" s="136">
        <v>0.0</v>
      </c>
      <c r="E109" s="136">
        <v>0.0</v>
      </c>
      <c r="F109" s="137">
        <f t="shared" si="116"/>
        <v>0</v>
      </c>
      <c r="G109" s="136">
        <v>0.0</v>
      </c>
      <c r="H109" s="136">
        <v>0.0</v>
      </c>
      <c r="I109" s="136">
        <v>0.0</v>
      </c>
      <c r="J109" s="139">
        <f t="shared" si="117"/>
        <v>0</v>
      </c>
      <c r="K109" s="136">
        <v>0.0</v>
      </c>
      <c r="L109" s="136">
        <v>0.0</v>
      </c>
      <c r="M109" s="136">
        <v>0.0</v>
      </c>
      <c r="N109" s="140">
        <f t="shared" si="118"/>
        <v>0</v>
      </c>
      <c r="O109" s="136">
        <v>0.0</v>
      </c>
      <c r="P109" s="136">
        <v>0.0</v>
      </c>
      <c r="Q109" s="136">
        <v>0.0</v>
      </c>
      <c r="R109" s="141">
        <f t="shared" si="119"/>
        <v>0</v>
      </c>
      <c r="S109" s="142">
        <f t="shared" si="120"/>
        <v>0</v>
      </c>
    </row>
    <row r="110" ht="21.75" customHeight="1">
      <c r="B110" s="143" t="s">
        <v>201</v>
      </c>
      <c r="C110" s="180">
        <f t="shared" ref="C110:E110" si="121">SUM(C102:C109)</f>
        <v>0</v>
      </c>
      <c r="D110" s="180">
        <f t="shared" si="121"/>
        <v>0</v>
      </c>
      <c r="E110" s="180">
        <f t="shared" si="121"/>
        <v>0</v>
      </c>
      <c r="F110" s="137">
        <f t="shared" si="116"/>
        <v>0</v>
      </c>
      <c r="G110" s="181">
        <f t="shared" ref="G110:I110" si="122">SUM(G102:G109)</f>
        <v>0</v>
      </c>
      <c r="H110" s="182">
        <f t="shared" si="122"/>
        <v>0</v>
      </c>
      <c r="I110" s="182">
        <f t="shared" si="122"/>
        <v>0</v>
      </c>
      <c r="J110" s="139">
        <f t="shared" si="117"/>
        <v>0</v>
      </c>
      <c r="K110" s="183">
        <f t="shared" ref="K110:M110" si="123">SUM(K102:K109)</f>
        <v>0</v>
      </c>
      <c r="L110" s="184">
        <f t="shared" si="123"/>
        <v>0</v>
      </c>
      <c r="M110" s="184">
        <f t="shared" si="123"/>
        <v>0</v>
      </c>
      <c r="N110" s="140">
        <f t="shared" si="118"/>
        <v>0</v>
      </c>
      <c r="O110" s="185">
        <f t="shared" ref="O110:Q110" si="124">SUM(O102:O109)</f>
        <v>0</v>
      </c>
      <c r="P110" s="186">
        <f t="shared" si="124"/>
        <v>0</v>
      </c>
      <c r="Q110" s="186">
        <f t="shared" si="124"/>
        <v>0</v>
      </c>
      <c r="R110" s="141">
        <f t="shared" si="119"/>
        <v>0</v>
      </c>
      <c r="S110" s="151">
        <f t="shared" si="120"/>
        <v>0</v>
      </c>
    </row>
    <row r="111" ht="21.75" customHeight="1">
      <c r="B111" s="143" t="s">
        <v>202</v>
      </c>
      <c r="C111" s="168">
        <f t="shared" ref="C111:E111" si="125">SUM(C48,C60,C67,C74,C90,C100,C110)</f>
        <v>0</v>
      </c>
      <c r="D111" s="168">
        <f t="shared" si="125"/>
        <v>0</v>
      </c>
      <c r="E111" s="168">
        <f t="shared" si="125"/>
        <v>0</v>
      </c>
      <c r="F111" s="169">
        <f t="shared" si="116"/>
        <v>0</v>
      </c>
      <c r="G111" s="170">
        <f t="shared" ref="G111:I111" si="126">SUM(G48,G60,G67,G74,G90,G100,G110)</f>
        <v>0</v>
      </c>
      <c r="H111" s="171">
        <f t="shared" si="126"/>
        <v>0</v>
      </c>
      <c r="I111" s="171">
        <f t="shared" si="126"/>
        <v>0</v>
      </c>
      <c r="J111" s="172">
        <f t="shared" si="117"/>
        <v>0</v>
      </c>
      <c r="K111" s="173">
        <f t="shared" ref="K111:M111" si="127">SUM(K48,K60,K67,K74,K90,K100,K110)</f>
        <v>0</v>
      </c>
      <c r="L111" s="174">
        <f t="shared" si="127"/>
        <v>0</v>
      </c>
      <c r="M111" s="174">
        <f t="shared" si="127"/>
        <v>0</v>
      </c>
      <c r="N111" s="175">
        <f t="shared" si="118"/>
        <v>0</v>
      </c>
      <c r="O111" s="176">
        <f t="shared" ref="O111:Q111" si="128">SUM(O48,O60,O67,O74,O90,O100,O110)</f>
        <v>0</v>
      </c>
      <c r="P111" s="177">
        <f t="shared" si="128"/>
        <v>0</v>
      </c>
      <c r="Q111" s="177">
        <f t="shared" si="128"/>
        <v>0</v>
      </c>
      <c r="R111" s="178">
        <f t="shared" si="119"/>
        <v>0</v>
      </c>
      <c r="S111" s="179">
        <f t="shared" si="120"/>
        <v>0</v>
      </c>
    </row>
    <row r="112" ht="15.0" customHeight="1">
      <c r="A112" s="105"/>
      <c r="B112" s="106"/>
      <c r="C112" s="107"/>
      <c r="D112" s="107"/>
      <c r="E112" s="107"/>
      <c r="F112" s="108"/>
      <c r="G112" s="107"/>
      <c r="H112" s="107"/>
      <c r="I112" s="107"/>
      <c r="J112" s="108"/>
      <c r="K112" s="107"/>
      <c r="L112" s="107"/>
      <c r="M112" s="107"/>
      <c r="N112" s="108"/>
      <c r="O112" s="107"/>
      <c r="P112" s="107"/>
      <c r="Q112" s="107"/>
      <c r="R112" s="108"/>
      <c r="S112" s="109"/>
      <c r="T112" s="105"/>
      <c r="U112" s="105"/>
      <c r="V112" s="105"/>
      <c r="W112" s="105"/>
      <c r="X112" s="105"/>
      <c r="Y112" s="105"/>
      <c r="Z112" s="105"/>
    </row>
    <row r="113" ht="45.0" customHeight="1">
      <c r="B113" s="14" t="s">
        <v>203</v>
      </c>
      <c r="C113" s="12"/>
      <c r="D113" s="12"/>
      <c r="E113" s="12"/>
      <c r="F113" s="12"/>
    </row>
    <row r="114" ht="31.5" customHeight="1">
      <c r="A114" s="17"/>
      <c r="B114" s="21"/>
      <c r="C114" s="22" t="s">
        <v>15</v>
      </c>
      <c r="D114" s="22" t="s">
        <v>16</v>
      </c>
      <c r="E114" s="22" t="s">
        <v>17</v>
      </c>
      <c r="F114" s="24" t="s">
        <v>18</v>
      </c>
      <c r="G114" s="26" t="s">
        <v>19</v>
      </c>
      <c r="H114" s="27" t="s">
        <v>20</v>
      </c>
      <c r="I114" s="27" t="s">
        <v>23</v>
      </c>
      <c r="J114" s="29" t="s">
        <v>13</v>
      </c>
      <c r="K114" s="30" t="s">
        <v>24</v>
      </c>
      <c r="L114" s="31" t="s">
        <v>26</v>
      </c>
      <c r="M114" s="31" t="s">
        <v>27</v>
      </c>
      <c r="N114" s="33" t="s">
        <v>28</v>
      </c>
      <c r="O114" s="35" t="s">
        <v>30</v>
      </c>
      <c r="P114" s="37" t="s">
        <v>31</v>
      </c>
      <c r="Q114" s="37" t="s">
        <v>32</v>
      </c>
      <c r="R114" s="39" t="s">
        <v>14</v>
      </c>
      <c r="S114" s="40" t="s">
        <v>33</v>
      </c>
      <c r="T114" s="17"/>
      <c r="U114" s="17"/>
      <c r="V114" s="17"/>
      <c r="W114" s="17"/>
      <c r="X114" s="17"/>
      <c r="Y114" s="17"/>
      <c r="Z114" s="17"/>
    </row>
    <row r="115" ht="21.75" customHeight="1">
      <c r="B115" s="131" t="s">
        <v>204</v>
      </c>
      <c r="C115" s="132"/>
      <c r="D115" s="132"/>
      <c r="E115" s="132"/>
      <c r="F115" s="133"/>
      <c r="G115" s="134"/>
      <c r="H115" s="132"/>
      <c r="I115" s="132"/>
      <c r="J115" s="133"/>
      <c r="K115" s="134"/>
      <c r="L115" s="132"/>
      <c r="M115" s="132"/>
      <c r="N115" s="133"/>
      <c r="O115" s="134"/>
      <c r="P115" s="132"/>
      <c r="Q115" s="132"/>
      <c r="R115" s="133"/>
      <c r="S115" s="134"/>
    </row>
    <row r="116" ht="21.75" customHeight="1">
      <c r="B116" s="135" t="s">
        <v>205</v>
      </c>
      <c r="C116" s="136">
        <v>0.0</v>
      </c>
      <c r="D116" s="136">
        <v>0.0</v>
      </c>
      <c r="E116" s="136">
        <v>0.0</v>
      </c>
      <c r="F116" s="137">
        <f t="shared" ref="F116:F124" si="129">SUM(C116:E116)</f>
        <v>0</v>
      </c>
      <c r="G116" s="136">
        <v>0.0</v>
      </c>
      <c r="H116" s="136">
        <v>0.0</v>
      </c>
      <c r="I116" s="136">
        <v>0.0</v>
      </c>
      <c r="J116" s="139">
        <f t="shared" ref="J116:J124" si="130">SUM(G116:I116)</f>
        <v>0</v>
      </c>
      <c r="K116" s="136">
        <v>0.0</v>
      </c>
      <c r="L116" s="136">
        <v>0.0</v>
      </c>
      <c r="M116" s="136">
        <v>0.0</v>
      </c>
      <c r="N116" s="140">
        <f t="shared" ref="N116:N124" si="131">SUM(K116:M116)</f>
        <v>0</v>
      </c>
      <c r="O116" s="136">
        <v>0.0</v>
      </c>
      <c r="P116" s="136">
        <v>0.0</v>
      </c>
      <c r="Q116" s="136">
        <v>0.0</v>
      </c>
      <c r="R116" s="141">
        <f t="shared" ref="R116:R124" si="132">SUM(O116:Q116)</f>
        <v>0</v>
      </c>
      <c r="S116" s="142">
        <f t="shared" ref="S116:S124" si="133">SUM(F116,J116,N116,R116)</f>
        <v>0</v>
      </c>
    </row>
    <row r="117" ht="21.75" customHeight="1">
      <c r="B117" s="135" t="s">
        <v>206</v>
      </c>
      <c r="C117" s="136">
        <v>0.0</v>
      </c>
      <c r="D117" s="136">
        <v>0.0</v>
      </c>
      <c r="E117" s="136">
        <v>0.0</v>
      </c>
      <c r="F117" s="137">
        <f t="shared" si="129"/>
        <v>0</v>
      </c>
      <c r="G117" s="136">
        <v>0.0</v>
      </c>
      <c r="H117" s="136">
        <v>0.0</v>
      </c>
      <c r="I117" s="136">
        <v>0.0</v>
      </c>
      <c r="J117" s="139">
        <f t="shared" si="130"/>
        <v>0</v>
      </c>
      <c r="K117" s="136">
        <v>0.0</v>
      </c>
      <c r="L117" s="136">
        <v>0.0</v>
      </c>
      <c r="M117" s="136">
        <v>0.0</v>
      </c>
      <c r="N117" s="140">
        <f t="shared" si="131"/>
        <v>0</v>
      </c>
      <c r="O117" s="136">
        <v>0.0</v>
      </c>
      <c r="P117" s="136">
        <v>0.0</v>
      </c>
      <c r="Q117" s="136">
        <v>0.0</v>
      </c>
      <c r="R117" s="141">
        <f t="shared" si="132"/>
        <v>0</v>
      </c>
      <c r="S117" s="142">
        <f t="shared" si="133"/>
        <v>0</v>
      </c>
    </row>
    <row r="118" ht="21.75" customHeight="1">
      <c r="B118" s="135" t="s">
        <v>100</v>
      </c>
      <c r="C118" s="136">
        <v>0.0</v>
      </c>
      <c r="D118" s="136">
        <v>0.0</v>
      </c>
      <c r="E118" s="136">
        <v>0.0</v>
      </c>
      <c r="F118" s="137">
        <f t="shared" si="129"/>
        <v>0</v>
      </c>
      <c r="G118" s="136">
        <v>0.0</v>
      </c>
      <c r="H118" s="136">
        <v>0.0</v>
      </c>
      <c r="I118" s="136">
        <v>0.0</v>
      </c>
      <c r="J118" s="139">
        <f t="shared" si="130"/>
        <v>0</v>
      </c>
      <c r="K118" s="136">
        <v>0.0</v>
      </c>
      <c r="L118" s="136">
        <v>0.0</v>
      </c>
      <c r="M118" s="136">
        <v>0.0</v>
      </c>
      <c r="N118" s="140">
        <f t="shared" si="131"/>
        <v>0</v>
      </c>
      <c r="O118" s="136">
        <v>0.0</v>
      </c>
      <c r="P118" s="136">
        <v>0.0</v>
      </c>
      <c r="Q118" s="136">
        <v>0.0</v>
      </c>
      <c r="R118" s="141">
        <f t="shared" si="132"/>
        <v>0</v>
      </c>
      <c r="S118" s="142">
        <f t="shared" si="133"/>
        <v>0</v>
      </c>
    </row>
    <row r="119" ht="21.75" customHeight="1">
      <c r="B119" s="135" t="s">
        <v>102</v>
      </c>
      <c r="C119" s="136">
        <v>0.0</v>
      </c>
      <c r="D119" s="136">
        <v>0.0</v>
      </c>
      <c r="E119" s="136">
        <v>0.0</v>
      </c>
      <c r="F119" s="137">
        <f t="shared" si="129"/>
        <v>0</v>
      </c>
      <c r="G119" s="136">
        <v>0.0</v>
      </c>
      <c r="H119" s="136">
        <v>0.0</v>
      </c>
      <c r="I119" s="136">
        <v>0.0</v>
      </c>
      <c r="J119" s="139">
        <f t="shared" si="130"/>
        <v>0</v>
      </c>
      <c r="K119" s="136">
        <v>0.0</v>
      </c>
      <c r="L119" s="136">
        <v>0.0</v>
      </c>
      <c r="M119" s="136">
        <v>0.0</v>
      </c>
      <c r="N119" s="140">
        <f t="shared" si="131"/>
        <v>0</v>
      </c>
      <c r="O119" s="136">
        <v>0.0</v>
      </c>
      <c r="P119" s="136">
        <v>0.0</v>
      </c>
      <c r="Q119" s="136">
        <v>0.0</v>
      </c>
      <c r="R119" s="141">
        <f t="shared" si="132"/>
        <v>0</v>
      </c>
      <c r="S119" s="142">
        <f t="shared" si="133"/>
        <v>0</v>
      </c>
    </row>
    <row r="120" ht="21.75" customHeight="1">
      <c r="B120" s="135" t="s">
        <v>75</v>
      </c>
      <c r="C120" s="136">
        <v>0.0</v>
      </c>
      <c r="D120" s="136">
        <v>0.0</v>
      </c>
      <c r="E120" s="136">
        <v>0.0</v>
      </c>
      <c r="F120" s="137">
        <f t="shared" si="129"/>
        <v>0</v>
      </c>
      <c r="G120" s="136">
        <v>0.0</v>
      </c>
      <c r="H120" s="136">
        <v>0.0</v>
      </c>
      <c r="I120" s="136">
        <v>0.0</v>
      </c>
      <c r="J120" s="139">
        <f t="shared" si="130"/>
        <v>0</v>
      </c>
      <c r="K120" s="136">
        <v>0.0</v>
      </c>
      <c r="L120" s="136">
        <v>0.0</v>
      </c>
      <c r="M120" s="136">
        <v>0.0</v>
      </c>
      <c r="N120" s="140">
        <f t="shared" si="131"/>
        <v>0</v>
      </c>
      <c r="O120" s="136">
        <v>0.0</v>
      </c>
      <c r="P120" s="136">
        <v>0.0</v>
      </c>
      <c r="Q120" s="136">
        <v>0.0</v>
      </c>
      <c r="R120" s="141">
        <f t="shared" si="132"/>
        <v>0</v>
      </c>
      <c r="S120" s="142">
        <f t="shared" si="133"/>
        <v>0</v>
      </c>
    </row>
    <row r="121" ht="21.75" customHeight="1">
      <c r="B121" s="135" t="s">
        <v>207</v>
      </c>
      <c r="C121" s="136">
        <v>0.0</v>
      </c>
      <c r="D121" s="136">
        <v>0.0</v>
      </c>
      <c r="E121" s="136">
        <v>0.0</v>
      </c>
      <c r="F121" s="137">
        <f t="shared" si="129"/>
        <v>0</v>
      </c>
      <c r="G121" s="136">
        <v>0.0</v>
      </c>
      <c r="H121" s="136">
        <v>0.0</v>
      </c>
      <c r="I121" s="136">
        <v>0.0</v>
      </c>
      <c r="J121" s="139">
        <f t="shared" si="130"/>
        <v>0</v>
      </c>
      <c r="K121" s="136">
        <v>0.0</v>
      </c>
      <c r="L121" s="136">
        <v>0.0</v>
      </c>
      <c r="M121" s="136">
        <v>0.0</v>
      </c>
      <c r="N121" s="140">
        <f t="shared" si="131"/>
        <v>0</v>
      </c>
      <c r="O121" s="136">
        <v>0.0</v>
      </c>
      <c r="P121" s="136">
        <v>0.0</v>
      </c>
      <c r="Q121" s="136">
        <v>0.0</v>
      </c>
      <c r="R121" s="141">
        <f t="shared" si="132"/>
        <v>0</v>
      </c>
      <c r="S121" s="142">
        <f t="shared" si="133"/>
        <v>0</v>
      </c>
    </row>
    <row r="122" ht="21.75" customHeight="1">
      <c r="B122" s="135" t="s">
        <v>76</v>
      </c>
      <c r="C122" s="136">
        <v>0.0</v>
      </c>
      <c r="D122" s="136">
        <v>0.0</v>
      </c>
      <c r="E122" s="136">
        <v>0.0</v>
      </c>
      <c r="F122" s="137">
        <f t="shared" si="129"/>
        <v>0</v>
      </c>
      <c r="G122" s="136">
        <v>0.0</v>
      </c>
      <c r="H122" s="136">
        <v>0.0</v>
      </c>
      <c r="I122" s="136">
        <v>0.0</v>
      </c>
      <c r="J122" s="139">
        <f t="shared" si="130"/>
        <v>0</v>
      </c>
      <c r="K122" s="136">
        <v>0.0</v>
      </c>
      <c r="L122" s="136">
        <v>0.0</v>
      </c>
      <c r="M122" s="136">
        <v>0.0</v>
      </c>
      <c r="N122" s="140">
        <f t="shared" si="131"/>
        <v>0</v>
      </c>
      <c r="O122" s="136">
        <v>0.0</v>
      </c>
      <c r="P122" s="136">
        <v>0.0</v>
      </c>
      <c r="Q122" s="136">
        <v>0.0</v>
      </c>
      <c r="R122" s="141">
        <f t="shared" si="132"/>
        <v>0</v>
      </c>
      <c r="S122" s="142">
        <f t="shared" si="133"/>
        <v>0</v>
      </c>
    </row>
    <row r="123" ht="21.75" customHeight="1">
      <c r="B123" s="135" t="s">
        <v>76</v>
      </c>
      <c r="C123" s="136">
        <v>0.0</v>
      </c>
      <c r="D123" s="136">
        <v>0.0</v>
      </c>
      <c r="E123" s="136">
        <v>0.0</v>
      </c>
      <c r="F123" s="137">
        <f t="shared" si="129"/>
        <v>0</v>
      </c>
      <c r="G123" s="136">
        <v>0.0</v>
      </c>
      <c r="H123" s="136">
        <v>0.0</v>
      </c>
      <c r="I123" s="136">
        <v>0.0</v>
      </c>
      <c r="J123" s="139">
        <f t="shared" si="130"/>
        <v>0</v>
      </c>
      <c r="K123" s="136">
        <v>0.0</v>
      </c>
      <c r="L123" s="136">
        <v>0.0</v>
      </c>
      <c r="M123" s="136">
        <v>0.0</v>
      </c>
      <c r="N123" s="140">
        <f t="shared" si="131"/>
        <v>0</v>
      </c>
      <c r="O123" s="136">
        <v>0.0</v>
      </c>
      <c r="P123" s="136">
        <v>0.0</v>
      </c>
      <c r="Q123" s="136">
        <v>0.0</v>
      </c>
      <c r="R123" s="141">
        <f t="shared" si="132"/>
        <v>0</v>
      </c>
      <c r="S123" s="142">
        <f t="shared" si="133"/>
        <v>0</v>
      </c>
    </row>
    <row r="124" ht="21.75" customHeight="1">
      <c r="B124" s="143" t="s">
        <v>208</v>
      </c>
      <c r="C124" s="180">
        <f t="shared" ref="C124:E124" si="134">SUM(C116:C123)</f>
        <v>0</v>
      </c>
      <c r="D124" s="180">
        <f t="shared" si="134"/>
        <v>0</v>
      </c>
      <c r="E124" s="180">
        <f t="shared" si="134"/>
        <v>0</v>
      </c>
      <c r="F124" s="137">
        <f t="shared" si="129"/>
        <v>0</v>
      </c>
      <c r="G124" s="181">
        <f t="shared" ref="G124:I124" si="135">SUM(G116:G123)</f>
        <v>0</v>
      </c>
      <c r="H124" s="182">
        <f t="shared" si="135"/>
        <v>0</v>
      </c>
      <c r="I124" s="182">
        <f t="shared" si="135"/>
        <v>0</v>
      </c>
      <c r="J124" s="139">
        <f t="shared" si="130"/>
        <v>0</v>
      </c>
      <c r="K124" s="183">
        <f t="shared" ref="K124:M124" si="136">SUM(K116:K123)</f>
        <v>0</v>
      </c>
      <c r="L124" s="184">
        <f t="shared" si="136"/>
        <v>0</v>
      </c>
      <c r="M124" s="184">
        <f t="shared" si="136"/>
        <v>0</v>
      </c>
      <c r="N124" s="140">
        <f t="shared" si="131"/>
        <v>0</v>
      </c>
      <c r="O124" s="185">
        <f t="shared" ref="O124:Q124" si="137">SUM(O116:O123)</f>
        <v>0</v>
      </c>
      <c r="P124" s="186">
        <f t="shared" si="137"/>
        <v>0</v>
      </c>
      <c r="Q124" s="186">
        <f t="shared" si="137"/>
        <v>0</v>
      </c>
      <c r="R124" s="141">
        <f t="shared" si="132"/>
        <v>0</v>
      </c>
      <c r="S124" s="151">
        <f t="shared" si="133"/>
        <v>0</v>
      </c>
    </row>
    <row r="125" ht="21.75" customHeight="1">
      <c r="B125" s="131" t="s">
        <v>209</v>
      </c>
      <c r="C125" s="132"/>
      <c r="D125" s="132"/>
      <c r="E125" s="132"/>
      <c r="F125" s="133"/>
      <c r="G125" s="134"/>
      <c r="H125" s="132"/>
      <c r="I125" s="132"/>
      <c r="J125" s="133"/>
      <c r="K125" s="134"/>
      <c r="L125" s="132"/>
      <c r="M125" s="132"/>
      <c r="N125" s="133"/>
      <c r="O125" s="134"/>
      <c r="P125" s="132"/>
      <c r="Q125" s="132"/>
      <c r="R125" s="133"/>
      <c r="S125" s="134"/>
    </row>
    <row r="126" ht="21.75" customHeight="1">
      <c r="B126" s="135" t="s">
        <v>205</v>
      </c>
      <c r="C126" s="136">
        <v>0.0</v>
      </c>
      <c r="D126" s="136">
        <v>0.0</v>
      </c>
      <c r="E126" s="136">
        <v>0.0</v>
      </c>
      <c r="F126" s="137">
        <f t="shared" ref="F126:F136" si="138">SUM(C126:E126)</f>
        <v>0</v>
      </c>
      <c r="G126" s="136">
        <v>0.0</v>
      </c>
      <c r="H126" s="136">
        <v>0.0</v>
      </c>
      <c r="I126" s="136">
        <v>0.0</v>
      </c>
      <c r="J126" s="139">
        <f t="shared" ref="J126:J136" si="139">SUM(G126:I126)</f>
        <v>0</v>
      </c>
      <c r="K126" s="136">
        <v>0.0</v>
      </c>
      <c r="L126" s="136">
        <v>0.0</v>
      </c>
      <c r="M126" s="136">
        <v>0.0</v>
      </c>
      <c r="N126" s="140">
        <f t="shared" ref="N126:N136" si="140">SUM(K126:M126)</f>
        <v>0</v>
      </c>
      <c r="O126" s="136">
        <v>0.0</v>
      </c>
      <c r="P126" s="136">
        <v>0.0</v>
      </c>
      <c r="Q126" s="136">
        <v>0.0</v>
      </c>
      <c r="R126" s="141">
        <f t="shared" ref="R126:R136" si="141">SUM(O126:Q126)</f>
        <v>0</v>
      </c>
      <c r="S126" s="142">
        <f t="shared" ref="S126:S136" si="142">SUM(F126,J126,N126,R126)</f>
        <v>0</v>
      </c>
    </row>
    <row r="127" ht="21.75" customHeight="1">
      <c r="B127" s="135" t="s">
        <v>206</v>
      </c>
      <c r="C127" s="136">
        <v>0.0</v>
      </c>
      <c r="D127" s="136">
        <v>0.0</v>
      </c>
      <c r="E127" s="136">
        <v>0.0</v>
      </c>
      <c r="F127" s="137">
        <f t="shared" si="138"/>
        <v>0</v>
      </c>
      <c r="G127" s="136">
        <v>0.0</v>
      </c>
      <c r="H127" s="136">
        <v>0.0</v>
      </c>
      <c r="I127" s="136">
        <v>0.0</v>
      </c>
      <c r="J127" s="139">
        <f t="shared" si="139"/>
        <v>0</v>
      </c>
      <c r="K127" s="136">
        <v>0.0</v>
      </c>
      <c r="L127" s="136">
        <v>0.0</v>
      </c>
      <c r="M127" s="136">
        <v>0.0</v>
      </c>
      <c r="N127" s="140">
        <f t="shared" si="140"/>
        <v>0</v>
      </c>
      <c r="O127" s="136">
        <v>0.0</v>
      </c>
      <c r="P127" s="136">
        <v>0.0</v>
      </c>
      <c r="Q127" s="136">
        <v>0.0</v>
      </c>
      <c r="R127" s="141">
        <f t="shared" si="141"/>
        <v>0</v>
      </c>
      <c r="S127" s="142">
        <f t="shared" si="142"/>
        <v>0</v>
      </c>
    </row>
    <row r="128" ht="21.75" customHeight="1">
      <c r="B128" s="135" t="s">
        <v>100</v>
      </c>
      <c r="C128" s="136">
        <v>0.0</v>
      </c>
      <c r="D128" s="136">
        <v>0.0</v>
      </c>
      <c r="E128" s="136">
        <v>0.0</v>
      </c>
      <c r="F128" s="137">
        <f t="shared" si="138"/>
        <v>0</v>
      </c>
      <c r="G128" s="136">
        <v>0.0</v>
      </c>
      <c r="H128" s="136">
        <v>0.0</v>
      </c>
      <c r="I128" s="136">
        <v>0.0</v>
      </c>
      <c r="J128" s="139">
        <f t="shared" si="139"/>
        <v>0</v>
      </c>
      <c r="K128" s="136">
        <v>0.0</v>
      </c>
      <c r="L128" s="136">
        <v>0.0</v>
      </c>
      <c r="M128" s="136">
        <v>0.0</v>
      </c>
      <c r="N128" s="140">
        <f t="shared" si="140"/>
        <v>0</v>
      </c>
      <c r="O128" s="136">
        <v>0.0</v>
      </c>
      <c r="P128" s="136">
        <v>0.0</v>
      </c>
      <c r="Q128" s="136">
        <v>0.0</v>
      </c>
      <c r="R128" s="141">
        <f t="shared" si="141"/>
        <v>0</v>
      </c>
      <c r="S128" s="142">
        <f t="shared" si="142"/>
        <v>0</v>
      </c>
    </row>
    <row r="129" ht="21.75" customHeight="1">
      <c r="B129" s="135" t="s">
        <v>75</v>
      </c>
      <c r="C129" s="136">
        <v>0.0</v>
      </c>
      <c r="D129" s="136">
        <v>0.0</v>
      </c>
      <c r="E129" s="136">
        <v>0.0</v>
      </c>
      <c r="F129" s="137">
        <f t="shared" si="138"/>
        <v>0</v>
      </c>
      <c r="G129" s="136">
        <v>0.0</v>
      </c>
      <c r="H129" s="136">
        <v>0.0</v>
      </c>
      <c r="I129" s="136">
        <v>0.0</v>
      </c>
      <c r="J129" s="139">
        <f t="shared" si="139"/>
        <v>0</v>
      </c>
      <c r="K129" s="136">
        <v>0.0</v>
      </c>
      <c r="L129" s="136">
        <v>0.0</v>
      </c>
      <c r="M129" s="136">
        <v>0.0</v>
      </c>
      <c r="N129" s="140">
        <f t="shared" si="140"/>
        <v>0</v>
      </c>
      <c r="O129" s="136">
        <v>0.0</v>
      </c>
      <c r="P129" s="136">
        <v>0.0</v>
      </c>
      <c r="Q129" s="136">
        <v>0.0</v>
      </c>
      <c r="R129" s="141">
        <f t="shared" si="141"/>
        <v>0</v>
      </c>
      <c r="S129" s="142">
        <f t="shared" si="142"/>
        <v>0</v>
      </c>
    </row>
    <row r="130" ht="21.75" customHeight="1">
      <c r="B130" s="135" t="s">
        <v>102</v>
      </c>
      <c r="C130" s="136">
        <v>0.0</v>
      </c>
      <c r="D130" s="136">
        <v>0.0</v>
      </c>
      <c r="E130" s="136">
        <v>0.0</v>
      </c>
      <c r="F130" s="137">
        <f t="shared" si="138"/>
        <v>0</v>
      </c>
      <c r="G130" s="136">
        <v>0.0</v>
      </c>
      <c r="H130" s="136">
        <v>0.0</v>
      </c>
      <c r="I130" s="136">
        <v>0.0</v>
      </c>
      <c r="J130" s="139">
        <f t="shared" si="139"/>
        <v>0</v>
      </c>
      <c r="K130" s="136">
        <v>0.0</v>
      </c>
      <c r="L130" s="136">
        <v>0.0</v>
      </c>
      <c r="M130" s="136">
        <v>0.0</v>
      </c>
      <c r="N130" s="140">
        <f t="shared" si="140"/>
        <v>0</v>
      </c>
      <c r="O130" s="136">
        <v>0.0</v>
      </c>
      <c r="P130" s="136">
        <v>0.0</v>
      </c>
      <c r="Q130" s="136">
        <v>0.0</v>
      </c>
      <c r="R130" s="141">
        <f t="shared" si="141"/>
        <v>0</v>
      </c>
      <c r="S130" s="142">
        <f t="shared" si="142"/>
        <v>0</v>
      </c>
    </row>
    <row r="131" ht="21.75" customHeight="1">
      <c r="B131" s="135" t="s">
        <v>207</v>
      </c>
      <c r="C131" s="136">
        <v>0.0</v>
      </c>
      <c r="D131" s="136">
        <v>0.0</v>
      </c>
      <c r="E131" s="136">
        <v>0.0</v>
      </c>
      <c r="F131" s="137">
        <f t="shared" si="138"/>
        <v>0</v>
      </c>
      <c r="G131" s="136">
        <v>0.0</v>
      </c>
      <c r="H131" s="136">
        <v>0.0</v>
      </c>
      <c r="I131" s="136">
        <v>0.0</v>
      </c>
      <c r="J131" s="139">
        <f t="shared" si="139"/>
        <v>0</v>
      </c>
      <c r="K131" s="136">
        <v>0.0</v>
      </c>
      <c r="L131" s="136">
        <v>0.0</v>
      </c>
      <c r="M131" s="136">
        <v>0.0</v>
      </c>
      <c r="N131" s="140">
        <f t="shared" si="140"/>
        <v>0</v>
      </c>
      <c r="O131" s="136">
        <v>0.0</v>
      </c>
      <c r="P131" s="136">
        <v>0.0</v>
      </c>
      <c r="Q131" s="136">
        <v>0.0</v>
      </c>
      <c r="R131" s="141">
        <f t="shared" si="141"/>
        <v>0</v>
      </c>
      <c r="S131" s="142">
        <f t="shared" si="142"/>
        <v>0</v>
      </c>
    </row>
    <row r="132" ht="21.75" customHeight="1">
      <c r="B132" s="135" t="s">
        <v>76</v>
      </c>
      <c r="C132" s="136">
        <v>0.0</v>
      </c>
      <c r="D132" s="136">
        <v>0.0</v>
      </c>
      <c r="E132" s="136">
        <v>0.0</v>
      </c>
      <c r="F132" s="137">
        <f t="shared" si="138"/>
        <v>0</v>
      </c>
      <c r="G132" s="136">
        <v>0.0</v>
      </c>
      <c r="H132" s="136">
        <v>0.0</v>
      </c>
      <c r="I132" s="136">
        <v>0.0</v>
      </c>
      <c r="J132" s="139">
        <f t="shared" si="139"/>
        <v>0</v>
      </c>
      <c r="K132" s="136">
        <v>0.0</v>
      </c>
      <c r="L132" s="136">
        <v>0.0</v>
      </c>
      <c r="M132" s="136">
        <v>0.0</v>
      </c>
      <c r="N132" s="140">
        <f t="shared" si="140"/>
        <v>0</v>
      </c>
      <c r="O132" s="136">
        <v>0.0</v>
      </c>
      <c r="P132" s="136">
        <v>0.0</v>
      </c>
      <c r="Q132" s="136">
        <v>0.0</v>
      </c>
      <c r="R132" s="141">
        <f t="shared" si="141"/>
        <v>0</v>
      </c>
      <c r="S132" s="142">
        <f t="shared" si="142"/>
        <v>0</v>
      </c>
    </row>
    <row r="133" ht="21.75" customHeight="1">
      <c r="B133" s="135" t="s">
        <v>76</v>
      </c>
      <c r="C133" s="136">
        <v>0.0</v>
      </c>
      <c r="D133" s="136">
        <v>0.0</v>
      </c>
      <c r="E133" s="136">
        <v>0.0</v>
      </c>
      <c r="F133" s="137">
        <f t="shared" si="138"/>
        <v>0</v>
      </c>
      <c r="G133" s="136">
        <v>0.0</v>
      </c>
      <c r="H133" s="136">
        <v>0.0</v>
      </c>
      <c r="I133" s="136">
        <v>0.0</v>
      </c>
      <c r="J133" s="139">
        <f t="shared" si="139"/>
        <v>0</v>
      </c>
      <c r="K133" s="136">
        <v>0.0</v>
      </c>
      <c r="L133" s="136">
        <v>0.0</v>
      </c>
      <c r="M133" s="136">
        <v>0.0</v>
      </c>
      <c r="N133" s="140">
        <f t="shared" si="140"/>
        <v>0</v>
      </c>
      <c r="O133" s="136">
        <v>0.0</v>
      </c>
      <c r="P133" s="136">
        <v>0.0</v>
      </c>
      <c r="Q133" s="136">
        <v>0.0</v>
      </c>
      <c r="R133" s="141">
        <f t="shared" si="141"/>
        <v>0</v>
      </c>
      <c r="S133" s="142">
        <f t="shared" si="142"/>
        <v>0</v>
      </c>
    </row>
    <row r="134" ht="21.75" customHeight="1">
      <c r="B134" s="135" t="s">
        <v>76</v>
      </c>
      <c r="C134" s="136">
        <v>0.0</v>
      </c>
      <c r="D134" s="136">
        <v>0.0</v>
      </c>
      <c r="E134" s="136">
        <v>0.0</v>
      </c>
      <c r="F134" s="137">
        <f t="shared" si="138"/>
        <v>0</v>
      </c>
      <c r="G134" s="136">
        <v>0.0</v>
      </c>
      <c r="H134" s="136">
        <v>0.0</v>
      </c>
      <c r="I134" s="136">
        <v>0.0</v>
      </c>
      <c r="J134" s="139">
        <f t="shared" si="139"/>
        <v>0</v>
      </c>
      <c r="K134" s="136">
        <v>0.0</v>
      </c>
      <c r="L134" s="136">
        <v>0.0</v>
      </c>
      <c r="M134" s="136">
        <v>0.0</v>
      </c>
      <c r="N134" s="140">
        <f t="shared" si="140"/>
        <v>0</v>
      </c>
      <c r="O134" s="136">
        <v>0.0</v>
      </c>
      <c r="P134" s="136">
        <v>0.0</v>
      </c>
      <c r="Q134" s="136">
        <v>0.0</v>
      </c>
      <c r="R134" s="141">
        <f t="shared" si="141"/>
        <v>0</v>
      </c>
      <c r="S134" s="142">
        <f t="shared" si="142"/>
        <v>0</v>
      </c>
    </row>
    <row r="135" ht="21.75" customHeight="1">
      <c r="B135" s="143" t="s">
        <v>210</v>
      </c>
      <c r="C135" s="180">
        <f t="shared" ref="C135:E135" si="143">SUM(C126:C134)</f>
        <v>0</v>
      </c>
      <c r="D135" s="180">
        <f t="shared" si="143"/>
        <v>0</v>
      </c>
      <c r="E135" s="180">
        <f t="shared" si="143"/>
        <v>0</v>
      </c>
      <c r="F135" s="137">
        <f t="shared" si="138"/>
        <v>0</v>
      </c>
      <c r="G135" s="181">
        <f t="shared" ref="G135:I135" si="144">SUM(G126:G134)</f>
        <v>0</v>
      </c>
      <c r="H135" s="182">
        <f t="shared" si="144"/>
        <v>0</v>
      </c>
      <c r="I135" s="182">
        <f t="shared" si="144"/>
        <v>0</v>
      </c>
      <c r="J135" s="139">
        <f t="shared" si="139"/>
        <v>0</v>
      </c>
      <c r="K135" s="183">
        <f t="shared" ref="K135:M135" si="145">SUM(K126:K134)</f>
        <v>0</v>
      </c>
      <c r="L135" s="184">
        <f t="shared" si="145"/>
        <v>0</v>
      </c>
      <c r="M135" s="184">
        <f t="shared" si="145"/>
        <v>0</v>
      </c>
      <c r="N135" s="140">
        <f t="shared" si="140"/>
        <v>0</v>
      </c>
      <c r="O135" s="185">
        <f t="shared" ref="O135:Q135" si="146">SUM(O126:O134)</f>
        <v>0</v>
      </c>
      <c r="P135" s="186">
        <f t="shared" si="146"/>
        <v>0</v>
      </c>
      <c r="Q135" s="186">
        <f t="shared" si="146"/>
        <v>0</v>
      </c>
      <c r="R135" s="141">
        <f t="shared" si="141"/>
        <v>0</v>
      </c>
      <c r="S135" s="151">
        <f t="shared" si="142"/>
        <v>0</v>
      </c>
    </row>
    <row r="136" ht="21.75" customHeight="1">
      <c r="B136" s="143" t="s">
        <v>211</v>
      </c>
      <c r="C136" s="168">
        <f t="shared" ref="C136:E136" si="147">SUM(C124,C135)</f>
        <v>0</v>
      </c>
      <c r="D136" s="168">
        <f t="shared" si="147"/>
        <v>0</v>
      </c>
      <c r="E136" s="168">
        <f t="shared" si="147"/>
        <v>0</v>
      </c>
      <c r="F136" s="169">
        <f t="shared" si="138"/>
        <v>0</v>
      </c>
      <c r="G136" s="170">
        <f t="shared" ref="G136:I136" si="148">SUM(G124,G135)</f>
        <v>0</v>
      </c>
      <c r="H136" s="171">
        <f t="shared" si="148"/>
        <v>0</v>
      </c>
      <c r="I136" s="171">
        <f t="shared" si="148"/>
        <v>0</v>
      </c>
      <c r="J136" s="172">
        <f t="shared" si="139"/>
        <v>0</v>
      </c>
      <c r="K136" s="173">
        <f t="shared" ref="K136:M136" si="149">SUM(K124,K135)</f>
        <v>0</v>
      </c>
      <c r="L136" s="174">
        <f t="shared" si="149"/>
        <v>0</v>
      </c>
      <c r="M136" s="174">
        <f t="shared" si="149"/>
        <v>0</v>
      </c>
      <c r="N136" s="175">
        <f t="shared" si="140"/>
        <v>0</v>
      </c>
      <c r="O136" s="176">
        <f t="shared" ref="O136:Q136" si="150">SUM(O124,O135)</f>
        <v>0</v>
      </c>
      <c r="P136" s="177">
        <f t="shared" si="150"/>
        <v>0</v>
      </c>
      <c r="Q136" s="177">
        <f t="shared" si="150"/>
        <v>0</v>
      </c>
      <c r="R136" s="178">
        <f t="shared" si="141"/>
        <v>0</v>
      </c>
      <c r="S136" s="179">
        <f t="shared" si="142"/>
        <v>0</v>
      </c>
    </row>
    <row r="137" ht="15.0" customHeight="1">
      <c r="A137" s="105"/>
      <c r="B137" s="106"/>
      <c r="C137" s="107"/>
      <c r="D137" s="107"/>
      <c r="E137" s="107"/>
      <c r="F137" s="108"/>
      <c r="G137" s="107"/>
      <c r="H137" s="107"/>
      <c r="I137" s="107"/>
      <c r="J137" s="108"/>
      <c r="K137" s="107"/>
      <c r="L137" s="107"/>
      <c r="M137" s="107"/>
      <c r="N137" s="108"/>
      <c r="O137" s="107"/>
      <c r="P137" s="107"/>
      <c r="Q137" s="107"/>
      <c r="R137" s="108"/>
      <c r="S137" s="109"/>
      <c r="T137" s="105"/>
      <c r="U137" s="105"/>
      <c r="V137" s="105"/>
      <c r="W137" s="105"/>
      <c r="X137" s="105"/>
      <c r="Y137" s="105"/>
      <c r="Z137" s="105"/>
    </row>
    <row r="138" ht="45.0" customHeight="1">
      <c r="B138" s="14" t="s">
        <v>50</v>
      </c>
      <c r="C138" s="12"/>
      <c r="D138" s="12"/>
      <c r="E138" s="12"/>
      <c r="F138" s="12"/>
    </row>
    <row r="139" ht="31.5" customHeight="1">
      <c r="A139" s="113"/>
      <c r="B139" s="189" t="s">
        <v>50</v>
      </c>
      <c r="C139" s="190">
        <f t="shared" ref="C139:E139" si="151">SUM(C111,C136)</f>
        <v>0</v>
      </c>
      <c r="D139" s="190">
        <f t="shared" si="151"/>
        <v>0</v>
      </c>
      <c r="E139" s="190">
        <f t="shared" si="151"/>
        <v>0</v>
      </c>
      <c r="F139" s="191">
        <f>SUM(C139:E139)</f>
        <v>0</v>
      </c>
      <c r="G139" s="192">
        <f t="shared" ref="G139:I139" si="152">SUM(G111,G136)</f>
        <v>0</v>
      </c>
      <c r="H139" s="193">
        <f t="shared" si="152"/>
        <v>0</v>
      </c>
      <c r="I139" s="193">
        <f t="shared" si="152"/>
        <v>0</v>
      </c>
      <c r="J139" s="194">
        <f>SUM(G139:I139)</f>
        <v>0</v>
      </c>
      <c r="K139" s="195">
        <f t="shared" ref="K139:M139" si="153">SUM(K111,K136)</f>
        <v>0</v>
      </c>
      <c r="L139" s="196">
        <f t="shared" si="153"/>
        <v>0</v>
      </c>
      <c r="M139" s="196">
        <f t="shared" si="153"/>
        <v>0</v>
      </c>
      <c r="N139" s="197">
        <f>SUM(K139:M139)</f>
        <v>0</v>
      </c>
      <c r="O139" s="198">
        <f t="shared" ref="O139:Q139" si="154">SUM(O111,O136)</f>
        <v>0</v>
      </c>
      <c r="P139" s="199">
        <f t="shared" si="154"/>
        <v>0</v>
      </c>
      <c r="Q139" s="199">
        <f t="shared" si="154"/>
        <v>0</v>
      </c>
      <c r="R139" s="200">
        <f>SUM(O139:Q139)</f>
        <v>0</v>
      </c>
      <c r="S139" s="201">
        <f>SUM(F139,J139,N139,R139)</f>
        <v>0</v>
      </c>
      <c r="T139" s="113"/>
      <c r="U139" s="113"/>
      <c r="V139" s="113"/>
      <c r="W139" s="113"/>
      <c r="X139" s="113"/>
      <c r="Y139" s="113"/>
      <c r="Z139" s="113"/>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F2"/>
    <mergeCell ref="F11:F15"/>
    <mergeCell ref="J11:J15"/>
    <mergeCell ref="N11:N15"/>
    <mergeCell ref="R11:R15"/>
  </mergeCells>
  <printOptions/>
  <pageMargins bottom="0.25" footer="0.0" header="0.0" left="0.25" right="0.25" top="0.2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fitToPage="1"/>
  </sheetPr>
  <sheetViews>
    <sheetView showGridLines="0" workbookViewId="0"/>
  </sheetViews>
  <sheetFormatPr customHeight="1" defaultColWidth="11.22" defaultRowHeight="15.0"/>
  <cols>
    <col customWidth="1" min="1" max="1" width="3.33"/>
    <col customWidth="1" min="2" max="2" width="44.67"/>
    <col customWidth="1" min="3" max="5" width="15.67"/>
    <col customWidth="1" min="6" max="6" width="3.0"/>
    <col customWidth="1" min="7" max="26" width="11.0"/>
  </cols>
  <sheetData>
    <row r="1" ht="49.5" customHeight="1">
      <c r="A1" s="1" t="s">
        <v>0</v>
      </c>
      <c r="B1" s="3" t="s">
        <v>128</v>
      </c>
      <c r="C1" s="1"/>
      <c r="D1" s="4"/>
      <c r="E1" s="1"/>
      <c r="F1" s="1"/>
      <c r="G1" s="1"/>
      <c r="H1" s="1"/>
      <c r="I1" s="1"/>
      <c r="J1" s="1"/>
      <c r="K1" s="1"/>
      <c r="L1" s="1"/>
      <c r="M1" s="1"/>
      <c r="N1" s="1"/>
      <c r="O1" s="1"/>
      <c r="P1" s="1"/>
      <c r="Q1" s="1"/>
      <c r="R1" s="1"/>
      <c r="S1" s="1"/>
      <c r="T1" s="1"/>
      <c r="U1" s="1"/>
      <c r="V1" s="1"/>
      <c r="W1" s="1"/>
      <c r="X1" s="1"/>
      <c r="Y1" s="1"/>
      <c r="Z1" s="1"/>
    </row>
    <row r="2" ht="21.75" customHeight="1">
      <c r="B2" s="7" t="s">
        <v>5</v>
      </c>
    </row>
    <row r="3" ht="32.25" customHeight="1">
      <c r="B3" s="10" t="s">
        <v>7</v>
      </c>
      <c r="C3" s="7"/>
      <c r="D3" s="7"/>
      <c r="E3" s="7"/>
      <c r="F3" s="12"/>
    </row>
    <row r="4" ht="31.5" customHeight="1">
      <c r="A4" s="9"/>
      <c r="B4" s="16"/>
      <c r="C4" s="18" t="s">
        <v>12</v>
      </c>
      <c r="D4" s="19" t="s">
        <v>13</v>
      </c>
      <c r="E4" s="23" t="s">
        <v>14</v>
      </c>
      <c r="F4" s="9"/>
      <c r="G4" s="9"/>
      <c r="H4" s="9"/>
      <c r="I4" s="9"/>
      <c r="J4" s="9"/>
      <c r="K4" s="9"/>
      <c r="L4" s="9"/>
      <c r="M4" s="9"/>
      <c r="N4" s="9"/>
      <c r="O4" s="9"/>
      <c r="P4" s="9"/>
      <c r="Q4" s="9"/>
      <c r="R4" s="9"/>
      <c r="S4" s="9"/>
      <c r="T4" s="9"/>
      <c r="U4" s="9"/>
      <c r="V4" s="9"/>
      <c r="W4" s="9"/>
      <c r="X4" s="9"/>
      <c r="Y4" s="9"/>
      <c r="Z4" s="9"/>
    </row>
    <row r="5" ht="42.75" customHeight="1">
      <c r="B5" s="28" t="s">
        <v>129</v>
      </c>
      <c r="C5" s="32" t="str">
        <f t="shared" ref="C5:E5" si="1">C31/C56</f>
        <v>#DIV/0!</v>
      </c>
      <c r="D5" s="42" t="str">
        <f t="shared" si="1"/>
        <v>#DIV/0!</v>
      </c>
      <c r="E5" s="46" t="str">
        <f t="shared" si="1"/>
        <v>#DIV/0!</v>
      </c>
    </row>
    <row r="6" ht="42.75" customHeight="1">
      <c r="B6" s="28" t="s">
        <v>131</v>
      </c>
      <c r="C6" s="53" t="str">
        <f t="shared" ref="C6:E6" si="2">(C31-C28)/(C56-C46)</f>
        <v>#DIV/0!</v>
      </c>
      <c r="D6" s="56" t="str">
        <f t="shared" si="2"/>
        <v>#DIV/0!</v>
      </c>
      <c r="E6" s="58" t="str">
        <f t="shared" si="2"/>
        <v>#DIV/0!</v>
      </c>
    </row>
    <row r="7" ht="42.75" customHeight="1">
      <c r="B7" s="28" t="s">
        <v>132</v>
      </c>
      <c r="C7" s="62">
        <f t="shared" ref="C7:E7" si="3">C31-C56</f>
        <v>0</v>
      </c>
      <c r="D7" s="64">
        <f t="shared" si="3"/>
        <v>0</v>
      </c>
      <c r="E7" s="66">
        <f t="shared" si="3"/>
        <v>0</v>
      </c>
    </row>
    <row r="8" ht="42.75" customHeight="1">
      <c r="B8" s="28" t="s">
        <v>134</v>
      </c>
      <c r="C8" s="32" t="str">
        <f t="shared" ref="C8:E8" si="4">C65/C42</f>
        <v>#DIV/0!</v>
      </c>
      <c r="D8" s="42" t="str">
        <f t="shared" si="4"/>
        <v>#DIV/0!</v>
      </c>
      <c r="E8" s="46" t="str">
        <f t="shared" si="4"/>
        <v>#DIV/0!</v>
      </c>
    </row>
    <row r="9" ht="42.75" customHeight="1">
      <c r="B9" s="28" t="s">
        <v>135</v>
      </c>
      <c r="C9" s="32" t="str">
        <f t="shared" ref="C9:E9" si="5">C65/C74</f>
        <v>#DIV/0!</v>
      </c>
      <c r="D9" s="42" t="str">
        <f t="shared" si="5"/>
        <v>#DIV/0!</v>
      </c>
      <c r="E9" s="46" t="str">
        <f t="shared" si="5"/>
        <v>#DIV/0!</v>
      </c>
    </row>
    <row r="10" ht="45.0" customHeight="1">
      <c r="B10" s="10" t="s">
        <v>67</v>
      </c>
      <c r="C10" s="12"/>
      <c r="D10" s="12"/>
      <c r="E10" s="12"/>
      <c r="F10" s="12"/>
    </row>
    <row r="11" ht="31.5" customHeight="1">
      <c r="A11" s="9"/>
      <c r="B11" s="70"/>
      <c r="C11" s="71" t="s">
        <v>12</v>
      </c>
      <c r="D11" s="72" t="s">
        <v>13</v>
      </c>
      <c r="E11" s="74" t="s">
        <v>14</v>
      </c>
      <c r="F11" s="9"/>
      <c r="G11" s="9"/>
      <c r="H11" s="9"/>
      <c r="I11" s="9"/>
      <c r="J11" s="9"/>
      <c r="K11" s="9"/>
      <c r="L11" s="9"/>
      <c r="M11" s="9"/>
      <c r="N11" s="9"/>
      <c r="O11" s="9"/>
      <c r="P11" s="9"/>
      <c r="Q11" s="9"/>
      <c r="R11" s="9"/>
      <c r="S11" s="9"/>
      <c r="T11" s="9"/>
      <c r="U11" s="9"/>
      <c r="V11" s="9"/>
      <c r="W11" s="9"/>
      <c r="X11" s="9"/>
      <c r="Y11" s="9"/>
      <c r="Z11" s="9"/>
    </row>
    <row r="12" ht="21.75" customHeight="1">
      <c r="B12" s="34" t="s">
        <v>68</v>
      </c>
      <c r="C12" s="60"/>
      <c r="D12" s="60"/>
      <c r="E12" s="60"/>
    </row>
    <row r="13" ht="21.75" customHeight="1">
      <c r="B13" s="41" t="s">
        <v>69</v>
      </c>
      <c r="C13" s="63">
        <v>0.0</v>
      </c>
      <c r="D13" s="63">
        <v>0.0</v>
      </c>
      <c r="E13" s="63">
        <v>0.0</v>
      </c>
    </row>
    <row r="14" ht="21.75" customHeight="1">
      <c r="B14" s="41" t="s">
        <v>70</v>
      </c>
      <c r="C14" s="63">
        <v>0.0</v>
      </c>
      <c r="D14" s="63">
        <v>0.0</v>
      </c>
      <c r="E14" s="63">
        <v>0.0</v>
      </c>
    </row>
    <row r="15" ht="21.75" customHeight="1">
      <c r="B15" s="41" t="s">
        <v>71</v>
      </c>
      <c r="C15" s="60"/>
      <c r="D15" s="60"/>
      <c r="E15" s="60"/>
    </row>
    <row r="16" ht="21.75" customHeight="1">
      <c r="B16" s="77" t="s">
        <v>72</v>
      </c>
      <c r="C16" s="63">
        <v>0.0</v>
      </c>
      <c r="D16" s="63">
        <v>0.0</v>
      </c>
      <c r="E16" s="63">
        <v>0.0</v>
      </c>
    </row>
    <row r="17" ht="21.75" customHeight="1">
      <c r="B17" s="77" t="s">
        <v>73</v>
      </c>
      <c r="C17" s="63">
        <v>0.0</v>
      </c>
      <c r="D17" s="63">
        <v>0.0</v>
      </c>
      <c r="E17" s="63">
        <v>0.0</v>
      </c>
    </row>
    <row r="18" ht="21.75" customHeight="1">
      <c r="B18" s="77" t="s">
        <v>74</v>
      </c>
      <c r="C18" s="63">
        <v>0.0</v>
      </c>
      <c r="D18" s="63">
        <v>0.0</v>
      </c>
      <c r="E18" s="63">
        <v>0.0</v>
      </c>
    </row>
    <row r="19" ht="21.75" customHeight="1">
      <c r="B19" s="77" t="s">
        <v>75</v>
      </c>
      <c r="C19" s="63">
        <v>0.0</v>
      </c>
      <c r="D19" s="63">
        <v>0.0</v>
      </c>
      <c r="E19" s="63">
        <v>0.0</v>
      </c>
    </row>
    <row r="20" ht="21.75" customHeight="1">
      <c r="B20" s="77" t="s">
        <v>76</v>
      </c>
      <c r="C20" s="63">
        <v>0.0</v>
      </c>
      <c r="D20" s="63">
        <v>0.0</v>
      </c>
      <c r="E20" s="63">
        <v>0.0</v>
      </c>
    </row>
    <row r="21" ht="21.75" customHeight="1">
      <c r="B21" s="77" t="s">
        <v>76</v>
      </c>
      <c r="C21" s="63">
        <v>0.0</v>
      </c>
      <c r="D21" s="63">
        <v>0.0</v>
      </c>
      <c r="E21" s="63">
        <v>0.0</v>
      </c>
    </row>
    <row r="22" ht="21.75" customHeight="1">
      <c r="B22" s="80" t="s">
        <v>77</v>
      </c>
      <c r="C22" s="82">
        <f t="shared" ref="C22:E22" si="6">SUM(C16:C21)</f>
        <v>0</v>
      </c>
      <c r="D22" s="84">
        <f t="shared" si="6"/>
        <v>0</v>
      </c>
      <c r="E22" s="85">
        <f t="shared" si="6"/>
        <v>0</v>
      </c>
    </row>
    <row r="23" ht="21.75" customHeight="1">
      <c r="B23" s="41" t="s">
        <v>79</v>
      </c>
      <c r="C23" s="60"/>
      <c r="D23" s="60"/>
      <c r="E23" s="60"/>
    </row>
    <row r="24" ht="21.75" customHeight="1">
      <c r="B24" s="77" t="s">
        <v>80</v>
      </c>
      <c r="C24" s="63">
        <v>0.0</v>
      </c>
      <c r="D24" s="63">
        <v>0.0</v>
      </c>
      <c r="E24" s="63">
        <v>0.0</v>
      </c>
    </row>
    <row r="25" ht="21.75" customHeight="1">
      <c r="B25" s="77" t="s">
        <v>81</v>
      </c>
      <c r="C25" s="63">
        <v>0.0</v>
      </c>
      <c r="D25" s="63">
        <v>0.0</v>
      </c>
      <c r="E25" s="63">
        <v>0.0</v>
      </c>
    </row>
    <row r="26" ht="21.75" customHeight="1">
      <c r="B26" s="77" t="s">
        <v>76</v>
      </c>
      <c r="C26" s="63">
        <v>0.0</v>
      </c>
      <c r="D26" s="63">
        <v>0.0</v>
      </c>
      <c r="E26" s="63">
        <v>0.0</v>
      </c>
    </row>
    <row r="27" ht="21.75" customHeight="1">
      <c r="B27" s="77" t="s">
        <v>76</v>
      </c>
      <c r="C27" s="63">
        <v>0.0</v>
      </c>
      <c r="D27" s="63">
        <v>0.0</v>
      </c>
      <c r="E27" s="63">
        <v>0.0</v>
      </c>
    </row>
    <row r="28" ht="21.75" customHeight="1">
      <c r="B28" s="80" t="s">
        <v>82</v>
      </c>
      <c r="C28" s="82">
        <f t="shared" ref="C28:E28" si="7">SUM(C24:C27)</f>
        <v>0</v>
      </c>
      <c r="D28" s="84">
        <f t="shared" si="7"/>
        <v>0</v>
      </c>
      <c r="E28" s="85">
        <f t="shared" si="7"/>
        <v>0</v>
      </c>
    </row>
    <row r="29" ht="21.75" customHeight="1">
      <c r="B29" s="41" t="s">
        <v>83</v>
      </c>
      <c r="C29" s="63">
        <v>0.0</v>
      </c>
      <c r="D29" s="63">
        <v>0.0</v>
      </c>
      <c r="E29" s="63">
        <v>0.0</v>
      </c>
    </row>
    <row r="30" ht="21.75" customHeight="1">
      <c r="B30" s="41" t="s">
        <v>84</v>
      </c>
      <c r="C30" s="63">
        <v>0.0</v>
      </c>
      <c r="D30" s="63">
        <v>0.0</v>
      </c>
      <c r="E30" s="63">
        <v>0.0</v>
      </c>
    </row>
    <row r="31" ht="21.75" customHeight="1">
      <c r="B31" s="89" t="s">
        <v>85</v>
      </c>
      <c r="C31" s="92">
        <f t="shared" ref="C31:E31" si="8">SUM(C13,C14,C22,C28,C29,C30)</f>
        <v>0</v>
      </c>
      <c r="D31" s="94">
        <f t="shared" si="8"/>
        <v>0</v>
      </c>
      <c r="E31" s="96">
        <f t="shared" si="8"/>
        <v>0</v>
      </c>
    </row>
    <row r="32" ht="21.75" customHeight="1">
      <c r="B32" s="34" t="s">
        <v>86</v>
      </c>
      <c r="C32" s="60"/>
      <c r="D32" s="60"/>
      <c r="E32" s="60"/>
    </row>
    <row r="33" ht="21.75" customHeight="1">
      <c r="B33" s="41" t="s">
        <v>87</v>
      </c>
      <c r="C33" s="63">
        <v>0.0</v>
      </c>
      <c r="D33" s="63">
        <v>0.0</v>
      </c>
      <c r="E33" s="63">
        <v>0.0</v>
      </c>
    </row>
    <row r="34" ht="21.75" customHeight="1">
      <c r="B34" s="41" t="s">
        <v>88</v>
      </c>
      <c r="C34" s="63">
        <v>0.0</v>
      </c>
      <c r="D34" s="63">
        <v>0.0</v>
      </c>
      <c r="E34" s="63">
        <v>0.0</v>
      </c>
    </row>
    <row r="35" ht="21.75" customHeight="1">
      <c r="B35" s="41" t="s">
        <v>89</v>
      </c>
      <c r="C35" s="63">
        <v>0.0</v>
      </c>
      <c r="D35" s="63">
        <v>0.0</v>
      </c>
      <c r="E35" s="63">
        <v>0.0</v>
      </c>
    </row>
    <row r="36" ht="21.75" customHeight="1">
      <c r="B36" s="41" t="s">
        <v>90</v>
      </c>
      <c r="C36" s="63">
        <v>0.0</v>
      </c>
      <c r="D36" s="63">
        <v>0.0</v>
      </c>
      <c r="E36" s="63">
        <v>0.0</v>
      </c>
    </row>
    <row r="37" ht="21.75" customHeight="1">
      <c r="B37" s="41" t="s">
        <v>92</v>
      </c>
      <c r="C37" s="63">
        <v>0.0</v>
      </c>
      <c r="D37" s="63">
        <v>0.0</v>
      </c>
      <c r="E37" s="63">
        <v>0.0</v>
      </c>
    </row>
    <row r="38" ht="21.75" customHeight="1">
      <c r="B38" s="41" t="s">
        <v>76</v>
      </c>
      <c r="C38" s="63">
        <v>0.0</v>
      </c>
      <c r="D38" s="63">
        <v>0.0</v>
      </c>
      <c r="E38" s="63">
        <v>0.0</v>
      </c>
    </row>
    <row r="39" ht="21.75" customHeight="1">
      <c r="B39" s="41" t="s">
        <v>76</v>
      </c>
      <c r="C39" s="63">
        <v>0.0</v>
      </c>
      <c r="D39" s="63">
        <v>0.0</v>
      </c>
      <c r="E39" s="63">
        <v>0.0</v>
      </c>
    </row>
    <row r="40" ht="21.75" customHeight="1">
      <c r="B40" s="41" t="s">
        <v>76</v>
      </c>
      <c r="C40" s="63">
        <v>0.0</v>
      </c>
      <c r="D40" s="63">
        <v>0.0</v>
      </c>
      <c r="E40" s="63">
        <v>0.0</v>
      </c>
    </row>
    <row r="41" ht="21.75" customHeight="1">
      <c r="B41" s="89" t="s">
        <v>93</v>
      </c>
      <c r="C41" s="92">
        <f t="shared" ref="C41:E41" si="9">SUM(C33:C40)</f>
        <v>0</v>
      </c>
      <c r="D41" s="94">
        <f t="shared" si="9"/>
        <v>0</v>
      </c>
      <c r="E41" s="96">
        <f t="shared" si="9"/>
        <v>0</v>
      </c>
    </row>
    <row r="42" ht="21.75" customHeight="1">
      <c r="B42" s="89" t="s">
        <v>94</v>
      </c>
      <c r="C42" s="92">
        <f t="shared" ref="C42:E42" si="10">SUM(C31,C41)</f>
        <v>0</v>
      </c>
      <c r="D42" s="94">
        <f t="shared" si="10"/>
        <v>0</v>
      </c>
      <c r="E42" s="96">
        <f t="shared" si="10"/>
        <v>0</v>
      </c>
    </row>
    <row r="43" ht="45.0" customHeight="1">
      <c r="B43" s="10" t="s">
        <v>95</v>
      </c>
      <c r="C43" s="12"/>
      <c r="D43" s="12"/>
      <c r="E43" s="12"/>
      <c r="F43" s="12"/>
    </row>
    <row r="44" ht="31.5" customHeight="1">
      <c r="A44" s="9"/>
      <c r="B44" s="70"/>
      <c r="C44" s="71" t="s">
        <v>12</v>
      </c>
      <c r="D44" s="72" t="s">
        <v>13</v>
      </c>
      <c r="E44" s="74" t="s">
        <v>14</v>
      </c>
      <c r="F44" s="9"/>
      <c r="G44" s="9"/>
      <c r="H44" s="9"/>
      <c r="I44" s="9"/>
      <c r="J44" s="9"/>
      <c r="K44" s="9"/>
      <c r="L44" s="9"/>
      <c r="M44" s="9"/>
      <c r="N44" s="9"/>
      <c r="O44" s="9"/>
      <c r="P44" s="9"/>
      <c r="Q44" s="9"/>
      <c r="R44" s="9"/>
      <c r="S44" s="9"/>
      <c r="T44" s="9"/>
      <c r="U44" s="9"/>
      <c r="V44" s="9"/>
      <c r="W44" s="9"/>
      <c r="X44" s="9"/>
      <c r="Y44" s="9"/>
      <c r="Z44" s="9"/>
    </row>
    <row r="45" ht="21.75" customHeight="1">
      <c r="B45" s="34" t="s">
        <v>96</v>
      </c>
      <c r="C45" s="60"/>
      <c r="D45" s="60"/>
      <c r="E45" s="60"/>
    </row>
    <row r="46" ht="21.75" customHeight="1">
      <c r="B46" s="41" t="s">
        <v>97</v>
      </c>
      <c r="C46" s="63">
        <v>0.0</v>
      </c>
      <c r="D46" s="63">
        <v>0.0</v>
      </c>
      <c r="E46" s="63">
        <v>0.0</v>
      </c>
    </row>
    <row r="47" ht="21.75" customHeight="1">
      <c r="B47" s="41" t="s">
        <v>98</v>
      </c>
      <c r="C47" s="63">
        <v>0.0</v>
      </c>
      <c r="D47" s="63">
        <v>0.0</v>
      </c>
      <c r="E47" s="63">
        <v>0.0</v>
      </c>
    </row>
    <row r="48" ht="21.75" customHeight="1">
      <c r="B48" s="41" t="s">
        <v>99</v>
      </c>
      <c r="C48" s="63">
        <v>0.0</v>
      </c>
      <c r="D48" s="63">
        <v>0.0</v>
      </c>
      <c r="E48" s="63">
        <v>0.0</v>
      </c>
    </row>
    <row r="49" ht="21.75" customHeight="1">
      <c r="B49" s="41" t="s">
        <v>100</v>
      </c>
      <c r="C49" s="63">
        <v>0.0</v>
      </c>
      <c r="D49" s="63">
        <v>0.0</v>
      </c>
      <c r="E49" s="63">
        <v>0.0</v>
      </c>
    </row>
    <row r="50" ht="21.75" customHeight="1">
      <c r="B50" s="41" t="s">
        <v>101</v>
      </c>
      <c r="C50" s="63">
        <v>0.0</v>
      </c>
      <c r="D50" s="63">
        <v>0.0</v>
      </c>
      <c r="E50" s="63">
        <v>0.0</v>
      </c>
    </row>
    <row r="51" ht="21.75" customHeight="1">
      <c r="B51" s="41" t="s">
        <v>102</v>
      </c>
      <c r="C51" s="63">
        <v>0.0</v>
      </c>
      <c r="D51" s="63">
        <v>0.0</v>
      </c>
      <c r="E51" s="63">
        <v>0.0</v>
      </c>
    </row>
    <row r="52" ht="21.75" customHeight="1">
      <c r="B52" s="41" t="s">
        <v>75</v>
      </c>
      <c r="C52" s="63">
        <v>0.0</v>
      </c>
      <c r="D52" s="63">
        <v>0.0</v>
      </c>
      <c r="E52" s="63">
        <v>0.0</v>
      </c>
    </row>
    <row r="53" ht="21.75" customHeight="1">
      <c r="B53" s="41" t="s">
        <v>76</v>
      </c>
      <c r="C53" s="63">
        <v>0.0</v>
      </c>
      <c r="D53" s="63">
        <v>0.0</v>
      </c>
      <c r="E53" s="63">
        <v>0.0</v>
      </c>
    </row>
    <row r="54" ht="21.75" customHeight="1">
      <c r="B54" s="41" t="s">
        <v>76</v>
      </c>
      <c r="C54" s="63">
        <v>0.0</v>
      </c>
      <c r="D54" s="63">
        <v>0.0</v>
      </c>
      <c r="E54" s="63">
        <v>0.0</v>
      </c>
    </row>
    <row r="55" ht="21.75" customHeight="1">
      <c r="B55" s="41" t="s">
        <v>76</v>
      </c>
      <c r="C55" s="63">
        <v>0.0</v>
      </c>
      <c r="D55" s="63">
        <v>0.0</v>
      </c>
      <c r="E55" s="63">
        <v>0.0</v>
      </c>
    </row>
    <row r="56" ht="21.75" customHeight="1">
      <c r="B56" s="89" t="s">
        <v>103</v>
      </c>
      <c r="C56" s="92">
        <f t="shared" ref="C56:E56" si="11">SUM(C46:C55)</f>
        <v>0</v>
      </c>
      <c r="D56" s="94">
        <f t="shared" si="11"/>
        <v>0</v>
      </c>
      <c r="E56" s="96">
        <f t="shared" si="11"/>
        <v>0</v>
      </c>
    </row>
    <row r="57" ht="21.75" customHeight="1">
      <c r="B57" s="34" t="s">
        <v>104</v>
      </c>
      <c r="C57" s="60"/>
      <c r="D57" s="60"/>
      <c r="E57" s="60"/>
    </row>
    <row r="58" ht="21.75" customHeight="1">
      <c r="B58" s="41" t="s">
        <v>105</v>
      </c>
      <c r="C58" s="63">
        <v>0.0</v>
      </c>
      <c r="D58" s="63">
        <v>0.0</v>
      </c>
      <c r="E58" s="63">
        <v>0.0</v>
      </c>
    </row>
    <row r="59" ht="21.75" customHeight="1">
      <c r="B59" s="41" t="s">
        <v>106</v>
      </c>
      <c r="C59" s="63">
        <v>0.0</v>
      </c>
      <c r="D59" s="63">
        <v>0.0</v>
      </c>
      <c r="E59" s="63">
        <v>0.0</v>
      </c>
    </row>
    <row r="60" ht="21.75" customHeight="1">
      <c r="B60" s="41" t="s">
        <v>107</v>
      </c>
      <c r="C60" s="63">
        <v>0.0</v>
      </c>
      <c r="D60" s="63">
        <v>0.0</v>
      </c>
      <c r="E60" s="63">
        <v>0.0</v>
      </c>
    </row>
    <row r="61" ht="21.75" customHeight="1">
      <c r="B61" s="41" t="s">
        <v>76</v>
      </c>
      <c r="C61" s="63">
        <v>0.0</v>
      </c>
      <c r="D61" s="63">
        <v>0.0</v>
      </c>
      <c r="E61" s="63">
        <v>0.0</v>
      </c>
    </row>
    <row r="62" ht="21.75" customHeight="1">
      <c r="B62" s="41" t="s">
        <v>76</v>
      </c>
      <c r="C62" s="63">
        <v>0.0</v>
      </c>
      <c r="D62" s="63">
        <v>0.0</v>
      </c>
      <c r="E62" s="63">
        <v>0.0</v>
      </c>
    </row>
    <row r="63" ht="21.75" customHeight="1">
      <c r="B63" s="41" t="s">
        <v>76</v>
      </c>
      <c r="C63" s="63">
        <v>0.0</v>
      </c>
      <c r="D63" s="63">
        <v>0.0</v>
      </c>
      <c r="E63" s="63">
        <v>0.0</v>
      </c>
    </row>
    <row r="64" ht="21.75" customHeight="1">
      <c r="B64" s="89" t="s">
        <v>108</v>
      </c>
      <c r="C64" s="92">
        <f t="shared" ref="C64:E64" si="12">SUM(C58:C63)</f>
        <v>0</v>
      </c>
      <c r="D64" s="94">
        <f t="shared" si="12"/>
        <v>0</v>
      </c>
      <c r="E64" s="96">
        <f t="shared" si="12"/>
        <v>0</v>
      </c>
    </row>
    <row r="65" ht="21.75" customHeight="1">
      <c r="B65" s="110" t="s">
        <v>109</v>
      </c>
      <c r="C65" s="92">
        <f t="shared" ref="C65:E65" si="13">SUM(C56,C64)</f>
        <v>0</v>
      </c>
      <c r="D65" s="94">
        <f t="shared" si="13"/>
        <v>0</v>
      </c>
      <c r="E65" s="96">
        <f t="shared" si="13"/>
        <v>0</v>
      </c>
    </row>
    <row r="66" ht="9.75" customHeight="1"/>
    <row r="67" ht="54.0" customHeight="1">
      <c r="B67" s="112" t="s">
        <v>111</v>
      </c>
      <c r="C67" s="92">
        <f t="shared" ref="C67:E67" si="14">C42-C65</f>
        <v>0</v>
      </c>
      <c r="D67" s="94">
        <f t="shared" si="14"/>
        <v>0</v>
      </c>
      <c r="E67" s="96">
        <f t="shared" si="14"/>
        <v>0</v>
      </c>
    </row>
    <row r="68" ht="45.0" customHeight="1">
      <c r="B68" s="10" t="s">
        <v>112</v>
      </c>
      <c r="C68" s="7"/>
      <c r="D68" s="7"/>
      <c r="E68" s="7"/>
      <c r="F68" s="12"/>
    </row>
    <row r="69" ht="31.5" customHeight="1">
      <c r="A69" s="9"/>
      <c r="B69" s="114" t="s">
        <v>113</v>
      </c>
      <c r="C69" s="115" t="s">
        <v>12</v>
      </c>
      <c r="D69" s="116" t="s">
        <v>13</v>
      </c>
      <c r="E69" s="118" t="s">
        <v>14</v>
      </c>
      <c r="F69" s="9"/>
      <c r="G69" s="9"/>
      <c r="H69" s="9"/>
      <c r="I69" s="9"/>
      <c r="J69" s="9"/>
      <c r="K69" s="9"/>
      <c r="L69" s="9"/>
      <c r="M69" s="9"/>
      <c r="N69" s="9"/>
      <c r="O69" s="9"/>
      <c r="P69" s="9"/>
      <c r="Q69" s="9"/>
      <c r="R69" s="9"/>
      <c r="S69" s="9"/>
      <c r="T69" s="9"/>
      <c r="U69" s="9"/>
      <c r="V69" s="9"/>
      <c r="W69" s="9"/>
      <c r="X69" s="9"/>
      <c r="Y69" s="9"/>
      <c r="Z69" s="9"/>
    </row>
    <row r="70" ht="18.0" customHeight="1">
      <c r="B70" s="120" t="s">
        <v>116</v>
      </c>
      <c r="C70" s="63">
        <v>0.0</v>
      </c>
      <c r="D70" s="63">
        <v>0.0</v>
      </c>
      <c r="E70" s="63">
        <v>0.0</v>
      </c>
    </row>
    <row r="71" ht="18.0" customHeight="1">
      <c r="B71" s="120" t="s">
        <v>117</v>
      </c>
      <c r="C71" s="63">
        <v>0.0</v>
      </c>
      <c r="D71" s="63">
        <v>0.0</v>
      </c>
      <c r="E71" s="63">
        <v>0.0</v>
      </c>
    </row>
    <row r="72" ht="18.0" customHeight="1">
      <c r="B72" s="120" t="s">
        <v>118</v>
      </c>
      <c r="C72" s="63">
        <v>0.0</v>
      </c>
      <c r="D72" s="63">
        <v>0.0</v>
      </c>
      <c r="E72" s="63">
        <v>0.0</v>
      </c>
    </row>
    <row r="73" ht="18.0" customHeight="1">
      <c r="B73" s="120" t="s">
        <v>76</v>
      </c>
      <c r="C73" s="63">
        <v>0.0</v>
      </c>
      <c r="D73" s="63">
        <v>0.0</v>
      </c>
      <c r="E73" s="63">
        <v>0.0</v>
      </c>
    </row>
    <row r="74" ht="21.75" customHeight="1">
      <c r="B74" s="110" t="s">
        <v>94</v>
      </c>
      <c r="C74" s="92">
        <f t="shared" ref="C74:E74" si="15">SUM(C70:C73)</f>
        <v>0</v>
      </c>
      <c r="D74" s="123">
        <f t="shared" si="15"/>
        <v>0</v>
      </c>
      <c r="E74" s="96">
        <f t="shared" si="15"/>
        <v>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25" footer="0.0" header="0.0" left="0.25" right="0.25" top="0.2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showGridLines="0" workbookViewId="0"/>
  </sheetViews>
  <sheetFormatPr customHeight="1" defaultColWidth="11.22" defaultRowHeight="15.0"/>
  <cols>
    <col customWidth="1" min="1" max="1" width="3.11"/>
    <col customWidth="1" min="2" max="2" width="55.33"/>
    <col customWidth="1" min="3" max="3" width="15.67"/>
    <col customWidth="1" min="4" max="4" width="3.33"/>
    <col customWidth="1" min="5" max="5" width="19.44"/>
    <col customWidth="1" min="6" max="26" width="11.0"/>
  </cols>
  <sheetData>
    <row r="1" ht="49.5" customHeight="1">
      <c r="A1" s="1" t="s">
        <v>0</v>
      </c>
      <c r="B1" s="3" t="s">
        <v>142</v>
      </c>
      <c r="C1" s="1"/>
      <c r="D1" s="4"/>
      <c r="E1" s="1"/>
      <c r="F1" s="1"/>
      <c r="G1" s="1"/>
      <c r="H1" s="1"/>
      <c r="I1" s="1"/>
      <c r="J1" s="1"/>
      <c r="K1" s="1"/>
      <c r="L1" s="1"/>
      <c r="M1" s="1"/>
      <c r="N1" s="1"/>
      <c r="O1" s="1"/>
      <c r="P1" s="1"/>
      <c r="Q1" s="1"/>
      <c r="R1" s="1"/>
      <c r="S1" s="1"/>
      <c r="T1" s="1"/>
      <c r="U1" s="1"/>
      <c r="V1" s="1"/>
      <c r="W1" s="1"/>
      <c r="X1" s="1"/>
      <c r="Y1" s="1"/>
      <c r="Z1" s="1"/>
    </row>
    <row r="2" ht="21.75" customHeight="1">
      <c r="B2" s="7" t="s">
        <v>5</v>
      </c>
    </row>
    <row r="3" ht="31.5" customHeight="1">
      <c r="A3" s="9"/>
      <c r="B3" s="11" t="s">
        <v>8</v>
      </c>
      <c r="C3" s="13">
        <v>0.0</v>
      </c>
      <c r="D3" s="9"/>
      <c r="E3" s="15"/>
      <c r="F3" s="9"/>
      <c r="G3" s="9"/>
      <c r="H3" s="9"/>
      <c r="I3" s="9"/>
      <c r="J3" s="9"/>
      <c r="K3" s="9"/>
      <c r="L3" s="9"/>
      <c r="M3" s="9"/>
      <c r="N3" s="9"/>
      <c r="O3" s="9"/>
      <c r="P3" s="9"/>
      <c r="Q3" s="9"/>
      <c r="R3" s="9"/>
      <c r="S3" s="9"/>
      <c r="T3" s="9"/>
      <c r="U3" s="9"/>
      <c r="V3" s="9"/>
      <c r="W3" s="9"/>
      <c r="X3" s="9"/>
      <c r="Y3" s="9"/>
      <c r="Z3" s="9"/>
    </row>
    <row r="4" ht="31.5" customHeight="1">
      <c r="A4" s="9"/>
      <c r="B4" s="11" t="s">
        <v>11</v>
      </c>
      <c r="C4" s="25">
        <f>SUM(C17,C25,C34)</f>
        <v>0</v>
      </c>
      <c r="D4" s="9"/>
      <c r="E4" s="9"/>
      <c r="F4" s="9"/>
      <c r="G4" s="9"/>
      <c r="H4" s="9"/>
      <c r="I4" s="9"/>
      <c r="J4" s="9"/>
      <c r="K4" s="9"/>
      <c r="L4" s="9"/>
      <c r="M4" s="9"/>
      <c r="N4" s="9"/>
      <c r="O4" s="9"/>
      <c r="P4" s="9"/>
      <c r="Q4" s="9"/>
      <c r="R4" s="9"/>
      <c r="S4" s="9"/>
      <c r="T4" s="9"/>
      <c r="U4" s="9"/>
      <c r="V4" s="9"/>
      <c r="W4" s="9"/>
      <c r="X4" s="9"/>
      <c r="Y4" s="9"/>
      <c r="Z4" s="9"/>
    </row>
    <row r="5" ht="31.5" customHeight="1">
      <c r="A5" s="9"/>
      <c r="B5" s="11" t="s">
        <v>22</v>
      </c>
      <c r="C5" s="25">
        <f>SUM(C3:C4)</f>
        <v>0</v>
      </c>
      <c r="D5" s="9"/>
      <c r="E5" s="9"/>
      <c r="F5" s="9"/>
      <c r="G5" s="9"/>
      <c r="H5" s="9"/>
      <c r="I5" s="9"/>
      <c r="J5" s="9"/>
      <c r="K5" s="9"/>
      <c r="L5" s="9"/>
      <c r="M5" s="9"/>
      <c r="N5" s="9"/>
      <c r="O5" s="9"/>
      <c r="P5" s="9"/>
      <c r="Q5" s="9"/>
      <c r="R5" s="9"/>
      <c r="S5" s="9"/>
      <c r="T5" s="9"/>
      <c r="U5" s="9"/>
      <c r="V5" s="9"/>
      <c r="W5" s="9"/>
      <c r="X5" s="9"/>
      <c r="Y5" s="9"/>
      <c r="Z5" s="9"/>
    </row>
    <row r="6" ht="45.0" customHeight="1">
      <c r="B6" s="10" t="s">
        <v>25</v>
      </c>
      <c r="C6" s="7"/>
      <c r="D6" s="7"/>
      <c r="E6" s="7"/>
      <c r="F6" s="7"/>
    </row>
    <row r="7" ht="21.75" customHeight="1">
      <c r="B7" s="34" t="s">
        <v>147</v>
      </c>
      <c r="C7" s="36"/>
      <c r="D7" s="38"/>
    </row>
    <row r="8" ht="21.75" customHeight="1">
      <c r="B8" s="41" t="s">
        <v>34</v>
      </c>
      <c r="C8" s="44">
        <v>0.0</v>
      </c>
    </row>
    <row r="9" ht="21.75" customHeight="1">
      <c r="B9" s="41" t="s">
        <v>36</v>
      </c>
      <c r="C9" s="44">
        <v>0.0</v>
      </c>
    </row>
    <row r="10" ht="21.75" customHeight="1">
      <c r="B10" s="34" t="s">
        <v>37</v>
      </c>
      <c r="C10" s="36"/>
    </row>
    <row r="11" ht="21.75" customHeight="1">
      <c r="B11" s="41" t="s">
        <v>38</v>
      </c>
      <c r="C11" s="44">
        <v>0.0</v>
      </c>
    </row>
    <row r="12" ht="21.75" customHeight="1">
      <c r="B12" s="34" t="s">
        <v>148</v>
      </c>
      <c r="C12" s="36"/>
    </row>
    <row r="13" ht="21.75" customHeight="1">
      <c r="B13" s="41" t="s">
        <v>40</v>
      </c>
      <c r="C13" s="44">
        <v>0.0</v>
      </c>
    </row>
    <row r="14" ht="21.75" customHeight="1">
      <c r="B14" s="41" t="s">
        <v>41</v>
      </c>
      <c r="C14" s="44">
        <v>0.0</v>
      </c>
    </row>
    <row r="15" ht="21.75" customHeight="1">
      <c r="B15" s="34" t="s">
        <v>42</v>
      </c>
      <c r="C15" s="36"/>
    </row>
    <row r="16" ht="21.75" customHeight="1">
      <c r="B16" s="41" t="s">
        <v>43</v>
      </c>
      <c r="C16" s="44">
        <v>0.0</v>
      </c>
    </row>
    <row r="17" ht="21.75" customHeight="1">
      <c r="A17" s="49"/>
      <c r="B17" s="51" t="s">
        <v>45</v>
      </c>
      <c r="C17" s="55">
        <f>SUM(C8:C16)</f>
        <v>0</v>
      </c>
      <c r="D17" s="49"/>
      <c r="E17" s="49"/>
      <c r="F17" s="49"/>
      <c r="G17" s="49"/>
      <c r="H17" s="49"/>
      <c r="I17" s="49"/>
      <c r="J17" s="49"/>
      <c r="K17" s="49"/>
      <c r="L17" s="49"/>
      <c r="M17" s="49"/>
      <c r="N17" s="49"/>
      <c r="O17" s="49"/>
      <c r="P17" s="49"/>
      <c r="Q17" s="49"/>
      <c r="R17" s="49"/>
      <c r="S17" s="49"/>
      <c r="T17" s="49"/>
      <c r="U17" s="49"/>
      <c r="V17" s="49"/>
      <c r="W17" s="49"/>
      <c r="X17" s="49"/>
      <c r="Y17" s="49"/>
      <c r="Z17" s="49"/>
    </row>
    <row r="18" ht="45.0" customHeight="1">
      <c r="B18" s="10" t="s">
        <v>46</v>
      </c>
      <c r="C18" s="7"/>
      <c r="D18" s="7"/>
      <c r="E18" s="7"/>
      <c r="F18" s="7"/>
    </row>
    <row r="19" ht="21.75" customHeight="1">
      <c r="B19" s="34" t="s">
        <v>150</v>
      </c>
      <c r="C19" s="60"/>
      <c r="D19" s="38"/>
    </row>
    <row r="20" ht="21.75" customHeight="1">
      <c r="B20" s="41" t="s">
        <v>49</v>
      </c>
      <c r="C20" s="63">
        <v>0.0</v>
      </c>
    </row>
    <row r="21" ht="21.75" customHeight="1">
      <c r="B21" s="41" t="s">
        <v>51</v>
      </c>
      <c r="C21" s="63">
        <v>0.0</v>
      </c>
    </row>
    <row r="22" ht="21.75" customHeight="1">
      <c r="B22" s="34" t="s">
        <v>151</v>
      </c>
      <c r="C22" s="60"/>
    </row>
    <row r="23" ht="21.75" customHeight="1">
      <c r="B23" s="41" t="s">
        <v>53</v>
      </c>
      <c r="C23" s="63">
        <v>0.0</v>
      </c>
    </row>
    <row r="24" ht="21.75" customHeight="1">
      <c r="B24" s="41" t="s">
        <v>54</v>
      </c>
      <c r="C24" s="63">
        <v>0.0</v>
      </c>
    </row>
    <row r="25" ht="21.75" customHeight="1">
      <c r="B25" s="51" t="s">
        <v>55</v>
      </c>
      <c r="C25" s="55">
        <f>SUM(C19:C24)</f>
        <v>0</v>
      </c>
    </row>
    <row r="26" ht="45.0" customHeight="1">
      <c r="B26" s="10" t="s">
        <v>56</v>
      </c>
      <c r="C26" s="7"/>
      <c r="D26" s="7"/>
      <c r="E26" s="7"/>
      <c r="F26" s="7"/>
    </row>
    <row r="27" ht="21.75" customHeight="1">
      <c r="B27" s="34" t="s">
        <v>153</v>
      </c>
      <c r="C27" s="60"/>
    </row>
    <row r="28" ht="21.75" customHeight="1">
      <c r="B28" s="41" t="s">
        <v>58</v>
      </c>
      <c r="C28" s="63">
        <v>0.0</v>
      </c>
    </row>
    <row r="29" ht="21.75" customHeight="1">
      <c r="B29" s="41" t="s">
        <v>59</v>
      </c>
      <c r="C29" s="63">
        <v>0.0</v>
      </c>
    </row>
    <row r="30" ht="21.75" customHeight="1">
      <c r="B30" s="41" t="s">
        <v>60</v>
      </c>
      <c r="C30" s="63">
        <v>0.0</v>
      </c>
    </row>
    <row r="31" ht="21.75" customHeight="1">
      <c r="B31" s="34" t="s">
        <v>154</v>
      </c>
      <c r="C31" s="60"/>
    </row>
    <row r="32" ht="21.75" customHeight="1">
      <c r="B32" s="41" t="s">
        <v>63</v>
      </c>
      <c r="C32" s="63">
        <v>0.0</v>
      </c>
    </row>
    <row r="33" ht="21.75" customHeight="1">
      <c r="B33" s="41" t="s">
        <v>64</v>
      </c>
      <c r="C33" s="63">
        <v>0.0</v>
      </c>
    </row>
    <row r="34" ht="21.75" customHeight="1">
      <c r="B34" s="51" t="s">
        <v>65</v>
      </c>
      <c r="C34" s="55">
        <f>SUM(C27:C33)</f>
        <v>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25" footer="0.0" header="0.0" left="0.25" right="0.25" top="0.2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11"/>
    <col customWidth="1" min="2" max="2" width="88.11"/>
    <col customWidth="1" min="3" max="26" width="10.67"/>
  </cols>
  <sheetData>
    <row r="1" ht="19.5" customHeight="1">
      <c r="A1" s="187"/>
      <c r="B1" s="187"/>
      <c r="C1" s="187"/>
      <c r="D1" s="187"/>
      <c r="E1" s="187"/>
      <c r="F1" s="187"/>
      <c r="G1" s="187"/>
      <c r="H1" s="187"/>
      <c r="I1" s="187"/>
      <c r="J1" s="187"/>
      <c r="K1" s="187"/>
      <c r="L1" s="187"/>
      <c r="M1" s="187"/>
      <c r="N1" s="187"/>
      <c r="O1" s="187"/>
      <c r="P1" s="187"/>
      <c r="Q1" s="187"/>
      <c r="R1" s="187"/>
      <c r="S1" s="187"/>
      <c r="T1" s="187"/>
      <c r="U1" s="187"/>
      <c r="V1" s="187"/>
      <c r="W1" s="187"/>
      <c r="X1" s="187"/>
      <c r="Y1" s="187"/>
      <c r="Z1" s="187"/>
    </row>
    <row r="2" ht="105.0" customHeight="1">
      <c r="A2" s="187"/>
      <c r="B2" s="188" t="s">
        <v>175</v>
      </c>
      <c r="C2" s="187"/>
      <c r="D2" s="187"/>
      <c r="E2" s="187"/>
      <c r="F2" s="187"/>
      <c r="G2" s="187"/>
      <c r="H2" s="187"/>
      <c r="I2" s="187"/>
      <c r="J2" s="187"/>
      <c r="K2" s="187"/>
      <c r="L2" s="187"/>
      <c r="M2" s="187"/>
      <c r="N2" s="187"/>
      <c r="O2" s="187"/>
      <c r="P2" s="187"/>
      <c r="Q2" s="187"/>
      <c r="R2" s="187"/>
      <c r="S2" s="187"/>
      <c r="T2" s="187"/>
      <c r="U2" s="187"/>
      <c r="V2" s="187"/>
      <c r="W2" s="187"/>
      <c r="X2" s="187"/>
      <c r="Y2" s="187"/>
      <c r="Z2" s="187"/>
    </row>
    <row r="3">
      <c r="A3" s="187"/>
      <c r="B3" s="187"/>
      <c r="C3" s="187"/>
      <c r="D3" s="187"/>
      <c r="E3" s="187"/>
      <c r="F3" s="187"/>
      <c r="G3" s="187"/>
      <c r="H3" s="187"/>
      <c r="I3" s="187"/>
      <c r="J3" s="187"/>
      <c r="K3" s="187"/>
      <c r="L3" s="187"/>
      <c r="M3" s="187"/>
      <c r="N3" s="187"/>
      <c r="O3" s="187"/>
      <c r="P3" s="187"/>
      <c r="Q3" s="187"/>
      <c r="R3" s="187"/>
      <c r="S3" s="187"/>
      <c r="T3" s="187"/>
      <c r="U3" s="187"/>
      <c r="V3" s="187"/>
      <c r="W3" s="187"/>
      <c r="X3" s="187"/>
      <c r="Y3" s="187"/>
      <c r="Z3" s="187"/>
    </row>
    <row r="4">
      <c r="A4" s="187"/>
      <c r="B4" s="187"/>
      <c r="C4" s="187"/>
      <c r="D4" s="187"/>
      <c r="E4" s="187"/>
      <c r="F4" s="187"/>
      <c r="G4" s="187"/>
      <c r="H4" s="187"/>
      <c r="I4" s="187"/>
      <c r="J4" s="187"/>
      <c r="K4" s="187"/>
      <c r="L4" s="187"/>
      <c r="M4" s="187"/>
      <c r="N4" s="187"/>
      <c r="O4" s="187"/>
      <c r="P4" s="187"/>
      <c r="Q4" s="187"/>
      <c r="R4" s="187"/>
      <c r="S4" s="187"/>
      <c r="T4" s="187"/>
      <c r="U4" s="187"/>
      <c r="V4" s="187"/>
      <c r="W4" s="187"/>
      <c r="X4" s="187"/>
      <c r="Y4" s="187"/>
      <c r="Z4" s="187"/>
    </row>
    <row r="5">
      <c r="A5" s="187"/>
      <c r="B5" s="187"/>
      <c r="C5" s="187"/>
      <c r="D5" s="187"/>
      <c r="E5" s="187"/>
      <c r="F5" s="187"/>
      <c r="G5" s="187"/>
      <c r="H5" s="187"/>
      <c r="I5" s="187"/>
      <c r="J5" s="187"/>
      <c r="K5" s="187"/>
      <c r="L5" s="187"/>
      <c r="M5" s="187"/>
      <c r="N5" s="187"/>
      <c r="O5" s="187"/>
      <c r="P5" s="187"/>
      <c r="Q5" s="187"/>
      <c r="R5" s="187"/>
      <c r="S5" s="187"/>
      <c r="T5" s="187"/>
      <c r="U5" s="187"/>
      <c r="V5" s="187"/>
      <c r="W5" s="187"/>
      <c r="X5" s="187"/>
      <c r="Y5" s="187"/>
      <c r="Z5" s="187"/>
    </row>
    <row r="6">
      <c r="A6" s="187"/>
      <c r="B6" s="187"/>
      <c r="C6" s="187"/>
      <c r="D6" s="187"/>
      <c r="E6" s="187"/>
      <c r="F6" s="187"/>
      <c r="G6" s="187"/>
      <c r="H6" s="187"/>
      <c r="I6" s="187"/>
      <c r="J6" s="187"/>
      <c r="K6" s="187"/>
      <c r="L6" s="187"/>
      <c r="M6" s="187"/>
      <c r="N6" s="187"/>
      <c r="O6" s="187"/>
      <c r="P6" s="187"/>
      <c r="Q6" s="187"/>
      <c r="R6" s="187"/>
      <c r="S6" s="187"/>
      <c r="T6" s="187"/>
      <c r="U6" s="187"/>
      <c r="V6" s="187"/>
      <c r="W6" s="187"/>
      <c r="X6" s="187"/>
      <c r="Y6" s="187"/>
      <c r="Z6" s="187"/>
    </row>
    <row r="7">
      <c r="A7" s="187"/>
      <c r="B7" s="187"/>
      <c r="C7" s="187"/>
      <c r="D7" s="187"/>
      <c r="E7" s="187"/>
      <c r="F7" s="187"/>
      <c r="G7" s="187"/>
      <c r="H7" s="187"/>
      <c r="I7" s="187"/>
      <c r="J7" s="187"/>
      <c r="K7" s="187"/>
      <c r="L7" s="187"/>
      <c r="M7" s="187"/>
      <c r="N7" s="187"/>
      <c r="O7" s="187"/>
      <c r="P7" s="187"/>
      <c r="Q7" s="187"/>
      <c r="R7" s="187"/>
      <c r="S7" s="187"/>
      <c r="T7" s="187"/>
      <c r="U7" s="187"/>
      <c r="V7" s="187"/>
      <c r="W7" s="187"/>
      <c r="X7" s="187"/>
      <c r="Y7" s="187"/>
      <c r="Z7" s="187"/>
    </row>
    <row r="8">
      <c r="A8" s="187"/>
      <c r="B8" s="187"/>
      <c r="C8" s="187"/>
      <c r="D8" s="187"/>
      <c r="E8" s="187"/>
      <c r="F8" s="187"/>
      <c r="G8" s="187"/>
      <c r="H8" s="187"/>
      <c r="I8" s="187"/>
      <c r="J8" s="187"/>
      <c r="K8" s="187"/>
      <c r="L8" s="187"/>
      <c r="M8" s="187"/>
      <c r="N8" s="187"/>
      <c r="O8" s="187"/>
      <c r="P8" s="187"/>
      <c r="Q8" s="187"/>
      <c r="R8" s="187"/>
      <c r="S8" s="187"/>
      <c r="T8" s="187"/>
      <c r="U8" s="187"/>
      <c r="V8" s="187"/>
      <c r="W8" s="187"/>
      <c r="X8" s="187"/>
      <c r="Y8" s="187"/>
      <c r="Z8" s="187"/>
    </row>
    <row r="9">
      <c r="A9" s="187"/>
      <c r="B9" s="187"/>
      <c r="C9" s="187"/>
      <c r="D9" s="187"/>
      <c r="E9" s="187"/>
      <c r="F9" s="187"/>
      <c r="G9" s="187"/>
      <c r="H9" s="187"/>
      <c r="I9" s="187"/>
      <c r="J9" s="187"/>
      <c r="K9" s="187"/>
      <c r="L9" s="187"/>
      <c r="M9" s="187"/>
      <c r="N9" s="187"/>
      <c r="O9" s="187"/>
      <c r="P9" s="187"/>
      <c r="Q9" s="187"/>
      <c r="R9" s="187"/>
      <c r="S9" s="187"/>
      <c r="T9" s="187"/>
      <c r="U9" s="187"/>
      <c r="V9" s="187"/>
      <c r="W9" s="187"/>
      <c r="X9" s="187"/>
      <c r="Y9" s="187"/>
      <c r="Z9" s="187"/>
    </row>
    <row r="10">
      <c r="A10" s="187"/>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row>
    <row r="11">
      <c r="A11" s="187"/>
      <c r="B11" s="187"/>
      <c r="C11" s="187"/>
      <c r="D11" s="187"/>
      <c r="E11" s="187"/>
      <c r="F11" s="187"/>
      <c r="G11" s="187"/>
      <c r="H11" s="187"/>
      <c r="I11" s="187"/>
      <c r="J11" s="187"/>
      <c r="K11" s="187"/>
      <c r="L11" s="187"/>
      <c r="M11" s="187"/>
      <c r="N11" s="187"/>
      <c r="O11" s="187"/>
      <c r="P11" s="187"/>
      <c r="Q11" s="187"/>
      <c r="R11" s="187"/>
      <c r="S11" s="187"/>
      <c r="T11" s="187"/>
      <c r="U11" s="187"/>
      <c r="V11" s="187"/>
      <c r="W11" s="187"/>
      <c r="X11" s="187"/>
      <c r="Y11" s="187"/>
      <c r="Z11" s="187"/>
    </row>
    <row r="12">
      <c r="A12" s="187"/>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row>
    <row r="13">
      <c r="A13" s="187"/>
      <c r="B13" s="187"/>
      <c r="C13" s="187"/>
      <c r="D13" s="187"/>
      <c r="E13" s="187"/>
      <c r="F13" s="187"/>
      <c r="G13" s="187"/>
      <c r="H13" s="187"/>
      <c r="I13" s="187"/>
      <c r="J13" s="187"/>
      <c r="K13" s="187"/>
      <c r="L13" s="187"/>
      <c r="M13" s="187"/>
      <c r="N13" s="187"/>
      <c r="O13" s="187"/>
      <c r="P13" s="187"/>
      <c r="Q13" s="187"/>
      <c r="R13" s="187"/>
      <c r="S13" s="187"/>
      <c r="T13" s="187"/>
      <c r="U13" s="187"/>
      <c r="V13" s="187"/>
      <c r="W13" s="187"/>
      <c r="X13" s="187"/>
      <c r="Y13" s="187"/>
      <c r="Z13" s="187"/>
    </row>
    <row r="14">
      <c r="A14" s="187"/>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row>
    <row r="15">
      <c r="A15" s="187"/>
      <c r="B15" s="187"/>
      <c r="C15" s="187"/>
      <c r="D15" s="187"/>
      <c r="E15" s="187"/>
      <c r="F15" s="187"/>
      <c r="G15" s="187"/>
      <c r="H15" s="187"/>
      <c r="I15" s="187"/>
      <c r="J15" s="187"/>
      <c r="K15" s="187"/>
      <c r="L15" s="187"/>
      <c r="M15" s="187"/>
      <c r="N15" s="187"/>
      <c r="O15" s="187"/>
      <c r="P15" s="187"/>
      <c r="Q15" s="187"/>
      <c r="R15" s="187"/>
      <c r="S15" s="187"/>
      <c r="T15" s="187"/>
      <c r="U15" s="187"/>
      <c r="V15" s="187"/>
      <c r="W15" s="187"/>
      <c r="X15" s="187"/>
      <c r="Y15" s="187"/>
      <c r="Z15" s="187"/>
    </row>
    <row r="16">
      <c r="A16" s="187"/>
      <c r="B16" s="187"/>
      <c r="C16" s="187"/>
      <c r="D16" s="187"/>
      <c r="E16" s="187"/>
      <c r="F16" s="187"/>
      <c r="G16" s="187"/>
      <c r="H16" s="187"/>
      <c r="I16" s="187"/>
      <c r="J16" s="187"/>
      <c r="K16" s="187"/>
      <c r="L16" s="187"/>
      <c r="M16" s="187"/>
      <c r="N16" s="187"/>
      <c r="O16" s="187"/>
      <c r="P16" s="187"/>
      <c r="Q16" s="187"/>
      <c r="R16" s="187"/>
      <c r="S16" s="187"/>
      <c r="T16" s="187"/>
      <c r="U16" s="187"/>
      <c r="V16" s="187"/>
      <c r="W16" s="187"/>
      <c r="X16" s="187"/>
      <c r="Y16" s="187"/>
      <c r="Z16" s="187"/>
    </row>
    <row r="17">
      <c r="A17" s="187"/>
      <c r="B17" s="187"/>
      <c r="C17" s="187"/>
      <c r="D17" s="187"/>
      <c r="E17" s="187"/>
      <c r="F17" s="187"/>
      <c r="G17" s="187"/>
      <c r="H17" s="187"/>
      <c r="I17" s="187"/>
      <c r="J17" s="187"/>
      <c r="K17" s="187"/>
      <c r="L17" s="187"/>
      <c r="M17" s="187"/>
      <c r="N17" s="187"/>
      <c r="O17" s="187"/>
      <c r="P17" s="187"/>
      <c r="Q17" s="187"/>
      <c r="R17" s="187"/>
      <c r="S17" s="187"/>
      <c r="T17" s="187"/>
      <c r="U17" s="187"/>
      <c r="V17" s="187"/>
      <c r="W17" s="187"/>
      <c r="X17" s="187"/>
      <c r="Y17" s="187"/>
      <c r="Z17" s="187"/>
    </row>
    <row r="18">
      <c r="A18" s="187"/>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row>
    <row r="19">
      <c r="A19" s="187"/>
      <c r="B19" s="187"/>
      <c r="C19" s="187"/>
      <c r="D19" s="187"/>
      <c r="E19" s="187"/>
      <c r="F19" s="187"/>
      <c r="G19" s="187"/>
      <c r="H19" s="187"/>
      <c r="I19" s="187"/>
      <c r="J19" s="187"/>
      <c r="K19" s="187"/>
      <c r="L19" s="187"/>
      <c r="M19" s="187"/>
      <c r="N19" s="187"/>
      <c r="O19" s="187"/>
      <c r="P19" s="187"/>
      <c r="Q19" s="187"/>
      <c r="R19" s="187"/>
      <c r="S19" s="187"/>
      <c r="T19" s="187"/>
      <c r="U19" s="187"/>
      <c r="V19" s="187"/>
      <c r="W19" s="187"/>
      <c r="X19" s="187"/>
      <c r="Y19" s="187"/>
      <c r="Z19" s="187"/>
    </row>
    <row r="20">
      <c r="A20" s="187"/>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row>
    <row r="21" ht="15.75" customHeight="1">
      <c r="A21" s="187"/>
      <c r="B21" s="187"/>
      <c r="C21" s="187"/>
      <c r="D21" s="187"/>
      <c r="E21" s="187"/>
      <c r="F21" s="187"/>
      <c r="G21" s="187"/>
      <c r="H21" s="187"/>
      <c r="I21" s="187"/>
      <c r="J21" s="187"/>
      <c r="K21" s="187"/>
      <c r="L21" s="187"/>
      <c r="M21" s="187"/>
      <c r="N21" s="187"/>
      <c r="O21" s="187"/>
      <c r="P21" s="187"/>
      <c r="Q21" s="187"/>
      <c r="R21" s="187"/>
      <c r="S21" s="187"/>
      <c r="T21" s="187"/>
      <c r="U21" s="187"/>
      <c r="V21" s="187"/>
      <c r="W21" s="187"/>
      <c r="X21" s="187"/>
      <c r="Y21" s="187"/>
      <c r="Z21" s="187"/>
    </row>
    <row r="22" ht="15.75" customHeight="1">
      <c r="A22" s="187"/>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row>
    <row r="23" ht="15.75" customHeight="1">
      <c r="A23" s="187"/>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row>
    <row r="24" ht="15.75" customHeight="1">
      <c r="A24" s="187"/>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row>
    <row r="25" ht="15.75" customHeight="1">
      <c r="A25" s="187"/>
      <c r="B25" s="187"/>
      <c r="C25" s="187"/>
      <c r="D25" s="187"/>
      <c r="E25" s="187"/>
      <c r="F25" s="187"/>
      <c r="G25" s="187"/>
      <c r="H25" s="187"/>
      <c r="I25" s="187"/>
      <c r="J25" s="187"/>
      <c r="K25" s="187"/>
      <c r="L25" s="187"/>
      <c r="M25" s="187"/>
      <c r="N25" s="187"/>
      <c r="O25" s="187"/>
      <c r="P25" s="187"/>
      <c r="Q25" s="187"/>
      <c r="R25" s="187"/>
      <c r="S25" s="187"/>
      <c r="T25" s="187"/>
      <c r="U25" s="187"/>
      <c r="V25" s="187"/>
      <c r="W25" s="187"/>
      <c r="X25" s="187"/>
      <c r="Y25" s="187"/>
      <c r="Z25" s="187"/>
    </row>
    <row r="26" ht="15.75" customHeight="1">
      <c r="A26" s="187"/>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row>
    <row r="27" ht="15.75" customHeight="1">
      <c r="A27" s="187"/>
      <c r="B27" s="187"/>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row>
    <row r="28" ht="15.75" customHeight="1">
      <c r="A28" s="187"/>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row>
    <row r="29" ht="15.75" customHeight="1">
      <c r="A29" s="187"/>
      <c r="B29" s="187"/>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row>
    <row r="30" ht="15.75" customHeight="1">
      <c r="A30" s="187"/>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row>
    <row r="31" ht="15.75" customHeight="1">
      <c r="A31" s="187"/>
      <c r="B31" s="187"/>
      <c r="C31" s="187"/>
      <c r="D31" s="187"/>
      <c r="E31" s="187"/>
      <c r="F31" s="187"/>
      <c r="G31" s="187"/>
      <c r="H31" s="187"/>
      <c r="I31" s="187"/>
      <c r="J31" s="187"/>
      <c r="K31" s="187"/>
      <c r="L31" s="187"/>
      <c r="M31" s="187"/>
      <c r="N31" s="187"/>
      <c r="O31" s="187"/>
      <c r="P31" s="187"/>
      <c r="Q31" s="187"/>
      <c r="R31" s="187"/>
      <c r="S31" s="187"/>
      <c r="T31" s="187"/>
      <c r="U31" s="187"/>
      <c r="V31" s="187"/>
      <c r="W31" s="187"/>
      <c r="X31" s="187"/>
      <c r="Y31" s="187"/>
      <c r="Z31" s="187"/>
    </row>
    <row r="32" ht="15.75" customHeight="1">
      <c r="A32" s="187"/>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row>
    <row r="33" ht="15.75" customHeight="1">
      <c r="A33" s="187"/>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row>
    <row r="34" ht="15.75" customHeight="1">
      <c r="A34" s="187"/>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row>
    <row r="35" ht="15.75" customHeight="1">
      <c r="A35" s="187"/>
      <c r="B35" s="187"/>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row>
    <row r="36" ht="15.75" customHeight="1">
      <c r="A36" s="187"/>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row>
    <row r="37" ht="15.75" customHeight="1">
      <c r="A37" s="187"/>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row>
    <row r="38" ht="15.75" customHeight="1">
      <c r="A38" s="187"/>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row>
    <row r="39" ht="15.75" customHeight="1">
      <c r="A39" s="187"/>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row>
    <row r="40" ht="15.75" customHeight="1">
      <c r="A40" s="187"/>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row>
    <row r="41" ht="15.75" customHeight="1">
      <c r="A41" s="187"/>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row>
    <row r="42" ht="15.75" customHeight="1">
      <c r="A42" s="187"/>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row>
    <row r="43" ht="15.75" customHeight="1">
      <c r="A43" s="187"/>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row>
    <row r="44" ht="15.75" customHeight="1">
      <c r="A44" s="187"/>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row>
    <row r="45" ht="15.75" customHeight="1">
      <c r="A45" s="187"/>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row>
    <row r="46" ht="15.75" customHeight="1">
      <c r="A46" s="187"/>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row>
    <row r="47" ht="15.75" customHeight="1">
      <c r="A47" s="187"/>
      <c r="B47" s="187"/>
      <c r="C47" s="187"/>
      <c r="D47" s="187"/>
      <c r="E47" s="187"/>
      <c r="F47" s="187"/>
      <c r="G47" s="187"/>
      <c r="H47" s="187"/>
      <c r="I47" s="187"/>
      <c r="J47" s="187"/>
      <c r="K47" s="187"/>
      <c r="L47" s="187"/>
      <c r="M47" s="187"/>
      <c r="N47" s="187"/>
      <c r="O47" s="187"/>
      <c r="P47" s="187"/>
      <c r="Q47" s="187"/>
      <c r="R47" s="187"/>
      <c r="S47" s="187"/>
      <c r="T47" s="187"/>
      <c r="U47" s="187"/>
      <c r="V47" s="187"/>
      <c r="W47" s="187"/>
      <c r="X47" s="187"/>
      <c r="Y47" s="187"/>
      <c r="Z47" s="187"/>
    </row>
    <row r="48" ht="15.75" customHeight="1">
      <c r="A48" s="187"/>
      <c r="B48" s="187"/>
      <c r="C48" s="187"/>
      <c r="D48" s="187"/>
      <c r="E48" s="187"/>
      <c r="F48" s="187"/>
      <c r="G48" s="187"/>
      <c r="H48" s="187"/>
      <c r="I48" s="187"/>
      <c r="J48" s="187"/>
      <c r="K48" s="187"/>
      <c r="L48" s="187"/>
      <c r="M48" s="187"/>
      <c r="N48" s="187"/>
      <c r="O48" s="187"/>
      <c r="P48" s="187"/>
      <c r="Q48" s="187"/>
      <c r="R48" s="187"/>
      <c r="S48" s="187"/>
      <c r="T48" s="187"/>
      <c r="U48" s="187"/>
      <c r="V48" s="187"/>
      <c r="W48" s="187"/>
      <c r="X48" s="187"/>
      <c r="Y48" s="187"/>
      <c r="Z48" s="187"/>
    </row>
    <row r="49" ht="15.75" customHeight="1">
      <c r="A49" s="187"/>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row>
    <row r="50" ht="15.75" customHeight="1">
      <c r="A50" s="187"/>
      <c r="B50" s="187"/>
      <c r="C50" s="187"/>
      <c r="D50" s="187"/>
      <c r="E50" s="187"/>
      <c r="F50" s="187"/>
      <c r="G50" s="187"/>
      <c r="H50" s="187"/>
      <c r="I50" s="187"/>
      <c r="J50" s="187"/>
      <c r="K50" s="187"/>
      <c r="L50" s="187"/>
      <c r="M50" s="187"/>
      <c r="N50" s="187"/>
      <c r="O50" s="187"/>
      <c r="P50" s="187"/>
      <c r="Q50" s="187"/>
      <c r="R50" s="187"/>
      <c r="S50" s="187"/>
      <c r="T50" s="187"/>
      <c r="U50" s="187"/>
      <c r="V50" s="187"/>
      <c r="W50" s="187"/>
      <c r="X50" s="187"/>
      <c r="Y50" s="187"/>
      <c r="Z50" s="187"/>
    </row>
    <row r="51" ht="15.75" customHeight="1">
      <c r="A51" s="187"/>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row>
    <row r="52" ht="15.75" customHeight="1">
      <c r="A52" s="187"/>
      <c r="B52" s="187"/>
      <c r="C52" s="187"/>
      <c r="D52" s="187"/>
      <c r="E52" s="187"/>
      <c r="F52" s="187"/>
      <c r="G52" s="187"/>
      <c r="H52" s="187"/>
      <c r="I52" s="187"/>
      <c r="J52" s="187"/>
      <c r="K52" s="187"/>
      <c r="L52" s="187"/>
      <c r="M52" s="187"/>
      <c r="N52" s="187"/>
      <c r="O52" s="187"/>
      <c r="P52" s="187"/>
      <c r="Q52" s="187"/>
      <c r="R52" s="187"/>
      <c r="S52" s="187"/>
      <c r="T52" s="187"/>
      <c r="U52" s="187"/>
      <c r="V52" s="187"/>
      <c r="W52" s="187"/>
      <c r="X52" s="187"/>
      <c r="Y52" s="187"/>
      <c r="Z52" s="187"/>
    </row>
    <row r="53" ht="15.75" customHeight="1">
      <c r="A53" s="187"/>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row>
    <row r="54" ht="15.75" customHeight="1">
      <c r="A54" s="187"/>
      <c r="B54" s="187"/>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row>
    <row r="55" ht="15.75" customHeight="1">
      <c r="A55" s="187"/>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row>
    <row r="56" ht="15.75" customHeight="1">
      <c r="A56" s="187"/>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row>
    <row r="57" ht="15.75" customHeight="1">
      <c r="A57" s="187"/>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row>
    <row r="58" ht="15.75" customHeight="1">
      <c r="A58" s="187"/>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row>
    <row r="59" ht="15.75" customHeight="1">
      <c r="A59" s="187"/>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row>
    <row r="60" ht="15.75" customHeight="1">
      <c r="A60" s="187"/>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row>
    <row r="61" ht="15.75" customHeight="1">
      <c r="A61" s="187"/>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row>
    <row r="62" ht="15.75" customHeight="1">
      <c r="A62" s="187"/>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row>
    <row r="63" ht="15.75" customHeight="1">
      <c r="A63" s="187"/>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row>
    <row r="64" ht="15.75" customHeight="1">
      <c r="A64" s="187"/>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row>
    <row r="65" ht="15.75" customHeight="1">
      <c r="A65" s="187"/>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row>
    <row r="66" ht="15.75" customHeight="1">
      <c r="A66" s="187"/>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row>
    <row r="67" ht="15.75" customHeight="1">
      <c r="A67" s="187"/>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row>
    <row r="68" ht="15.75" customHeight="1">
      <c r="A68" s="187"/>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row>
    <row r="69" ht="15.75" customHeight="1">
      <c r="A69" s="187"/>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row>
    <row r="70" ht="15.75" customHeight="1">
      <c r="A70" s="187"/>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row>
    <row r="71" ht="15.75" customHeight="1">
      <c r="A71" s="187"/>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row>
    <row r="72" ht="15.75" customHeight="1">
      <c r="A72" s="187"/>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row>
    <row r="73" ht="15.75" customHeight="1">
      <c r="A73" s="187"/>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row>
    <row r="74" ht="15.75" customHeight="1">
      <c r="A74" s="187"/>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row>
    <row r="75" ht="15.75" customHeight="1">
      <c r="A75" s="187"/>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row>
    <row r="76" ht="15.75" customHeight="1">
      <c r="A76" s="187"/>
      <c r="B76" s="187"/>
      <c r="C76" s="187"/>
      <c r="D76" s="187"/>
      <c r="E76" s="187"/>
      <c r="F76" s="187"/>
      <c r="G76" s="187"/>
      <c r="H76" s="187"/>
      <c r="I76" s="187"/>
      <c r="J76" s="187"/>
      <c r="K76" s="187"/>
      <c r="L76" s="187"/>
      <c r="M76" s="187"/>
      <c r="N76" s="187"/>
      <c r="O76" s="187"/>
      <c r="P76" s="187"/>
      <c r="Q76" s="187"/>
      <c r="R76" s="187"/>
      <c r="S76" s="187"/>
      <c r="T76" s="187"/>
      <c r="U76" s="187"/>
      <c r="V76" s="187"/>
      <c r="W76" s="187"/>
      <c r="X76" s="187"/>
      <c r="Y76" s="187"/>
      <c r="Z76" s="187"/>
    </row>
    <row r="77" ht="15.75" customHeight="1">
      <c r="A77" s="187"/>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row>
    <row r="78" ht="15.75" customHeight="1">
      <c r="A78" s="187"/>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row>
    <row r="79" ht="15.75" customHeight="1">
      <c r="A79" s="187"/>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row>
    <row r="80" ht="15.75" customHeight="1">
      <c r="A80" s="187"/>
      <c r="B80" s="187"/>
      <c r="C80" s="187"/>
      <c r="D80" s="187"/>
      <c r="E80" s="187"/>
      <c r="F80" s="187"/>
      <c r="G80" s="187"/>
      <c r="H80" s="187"/>
      <c r="I80" s="187"/>
      <c r="J80" s="187"/>
      <c r="K80" s="187"/>
      <c r="L80" s="187"/>
      <c r="M80" s="187"/>
      <c r="N80" s="187"/>
      <c r="O80" s="187"/>
      <c r="P80" s="187"/>
      <c r="Q80" s="187"/>
      <c r="R80" s="187"/>
      <c r="S80" s="187"/>
      <c r="T80" s="187"/>
      <c r="U80" s="187"/>
      <c r="V80" s="187"/>
      <c r="W80" s="187"/>
      <c r="X80" s="187"/>
      <c r="Y80" s="187"/>
      <c r="Z80" s="187"/>
    </row>
    <row r="81" ht="15.75" customHeight="1">
      <c r="A81" s="187"/>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row>
    <row r="82" ht="15.75" customHeight="1">
      <c r="A82" s="187"/>
      <c r="B82" s="187"/>
      <c r="C82" s="187"/>
      <c r="D82" s="187"/>
      <c r="E82" s="187"/>
      <c r="F82" s="187"/>
      <c r="G82" s="187"/>
      <c r="H82" s="187"/>
      <c r="I82" s="187"/>
      <c r="J82" s="187"/>
      <c r="K82" s="187"/>
      <c r="L82" s="187"/>
      <c r="M82" s="187"/>
      <c r="N82" s="187"/>
      <c r="O82" s="187"/>
      <c r="P82" s="187"/>
      <c r="Q82" s="187"/>
      <c r="R82" s="187"/>
      <c r="S82" s="187"/>
      <c r="T82" s="187"/>
      <c r="U82" s="187"/>
      <c r="V82" s="187"/>
      <c r="W82" s="187"/>
      <c r="X82" s="187"/>
      <c r="Y82" s="187"/>
      <c r="Z82" s="187"/>
    </row>
    <row r="83" ht="15.75" customHeight="1">
      <c r="A83" s="187"/>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row>
    <row r="84" ht="15.75" customHeight="1">
      <c r="A84" s="187"/>
      <c r="B84" s="187"/>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row>
    <row r="85" ht="15.75" customHeight="1">
      <c r="A85" s="187"/>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row>
    <row r="86" ht="15.75" customHeight="1">
      <c r="A86" s="187"/>
      <c r="B86" s="187"/>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row>
    <row r="87" ht="15.75" customHeight="1">
      <c r="A87" s="187"/>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row>
    <row r="88" ht="15.75" customHeight="1">
      <c r="A88" s="187"/>
      <c r="B88" s="187"/>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row>
    <row r="89" ht="15.75" customHeight="1">
      <c r="A89" s="187"/>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row>
    <row r="90" ht="15.75" customHeight="1">
      <c r="A90" s="187"/>
      <c r="B90" s="187"/>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row>
    <row r="91" ht="15.75" customHeight="1">
      <c r="A91" s="187"/>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row>
    <row r="92" ht="15.75" customHeight="1">
      <c r="A92" s="187"/>
      <c r="B92" s="187"/>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row>
    <row r="93" ht="15.75" customHeight="1">
      <c r="A93" s="187"/>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row>
    <row r="94" ht="15.75" customHeight="1">
      <c r="A94" s="187"/>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row>
    <row r="95" ht="15.75" customHeight="1">
      <c r="A95" s="187"/>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row>
    <row r="96" ht="15.75" customHeight="1">
      <c r="A96" s="187"/>
      <c r="B96" s="187"/>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row>
    <row r="97" ht="15.75" customHeight="1">
      <c r="A97" s="187"/>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row>
    <row r="98" ht="15.75" customHeight="1">
      <c r="A98" s="187"/>
      <c r="B98" s="187"/>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row>
    <row r="99" ht="15.75" customHeight="1">
      <c r="A99" s="187"/>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row>
    <row r="100" ht="15.75" customHeight="1">
      <c r="A100" s="187"/>
      <c r="B100" s="187"/>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row>
    <row r="101" ht="15.75" customHeight="1">
      <c r="A101" s="187"/>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row>
    <row r="102" ht="15.75" customHeight="1">
      <c r="A102" s="187"/>
      <c r="B102" s="187"/>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row>
    <row r="103" ht="15.75" customHeight="1">
      <c r="A103" s="187"/>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row>
    <row r="104" ht="15.75" customHeight="1">
      <c r="A104" s="187"/>
      <c r="B104" s="187"/>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row>
    <row r="105" ht="15.75" customHeight="1">
      <c r="A105" s="187"/>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row>
    <row r="106" ht="15.75" customHeight="1">
      <c r="A106" s="187"/>
      <c r="B106" s="187"/>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row>
    <row r="107" ht="15.75" customHeight="1">
      <c r="A107" s="187"/>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row>
    <row r="108" ht="15.75" customHeight="1">
      <c r="A108" s="187"/>
      <c r="B108" s="187"/>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row>
    <row r="109" ht="15.75" customHeight="1">
      <c r="A109" s="187"/>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row>
    <row r="110" ht="15.75" customHeight="1">
      <c r="A110" s="187"/>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row>
    <row r="111" ht="15.75" customHeight="1">
      <c r="A111" s="187"/>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row>
    <row r="112" ht="15.75" customHeight="1">
      <c r="A112" s="187"/>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row>
    <row r="113" ht="15.75" customHeight="1">
      <c r="A113" s="187"/>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row>
    <row r="114" ht="15.75" customHeight="1">
      <c r="A114" s="187"/>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row>
    <row r="115" ht="15.75" customHeight="1">
      <c r="A115" s="187"/>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row>
    <row r="116" ht="15.75" customHeight="1">
      <c r="A116" s="187"/>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row>
    <row r="117" ht="15.75" customHeight="1">
      <c r="A117" s="187"/>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row>
    <row r="118" ht="15.75" customHeight="1">
      <c r="A118" s="187"/>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row>
    <row r="119" ht="15.75" customHeight="1">
      <c r="A119" s="187"/>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row>
    <row r="120" ht="15.75" customHeight="1">
      <c r="A120" s="187"/>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row>
    <row r="121" ht="15.75" customHeight="1">
      <c r="A121" s="187"/>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row>
    <row r="122" ht="15.75" customHeight="1">
      <c r="A122" s="187"/>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row>
    <row r="123" ht="15.75" customHeight="1">
      <c r="A123" s="187"/>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row>
    <row r="124" ht="15.75" customHeight="1">
      <c r="A124" s="187"/>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row>
    <row r="125" ht="15.75" customHeight="1">
      <c r="A125" s="187"/>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row>
    <row r="126" ht="15.75" customHeight="1">
      <c r="A126" s="187"/>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row>
    <row r="127" ht="15.75" customHeight="1">
      <c r="A127" s="187"/>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row>
    <row r="128" ht="15.75" customHeight="1">
      <c r="A128" s="187"/>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row>
    <row r="129" ht="15.75" customHeight="1">
      <c r="A129" s="187"/>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row>
    <row r="130" ht="15.75" customHeight="1">
      <c r="A130" s="187"/>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row>
    <row r="131" ht="15.75" customHeight="1">
      <c r="A131" s="187"/>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row>
    <row r="132" ht="15.75" customHeight="1">
      <c r="A132" s="187"/>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row>
    <row r="133" ht="15.75" customHeight="1">
      <c r="A133" s="187"/>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row>
    <row r="134" ht="15.75" customHeight="1">
      <c r="A134" s="187"/>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row>
    <row r="135" ht="15.75" customHeight="1">
      <c r="A135" s="187"/>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row>
    <row r="136" ht="15.75" customHeight="1">
      <c r="A136" s="187"/>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row>
    <row r="137" ht="15.75" customHeight="1">
      <c r="A137" s="187"/>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row>
    <row r="138" ht="15.75" customHeight="1">
      <c r="A138" s="187"/>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row>
    <row r="139" ht="15.75" customHeight="1">
      <c r="A139" s="187"/>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row>
    <row r="140" ht="15.75" customHeight="1">
      <c r="A140" s="187"/>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row>
    <row r="141" ht="15.75" customHeight="1">
      <c r="A141" s="187"/>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row>
    <row r="142" ht="15.75" customHeight="1">
      <c r="A142" s="187"/>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row>
    <row r="143" ht="15.75" customHeight="1">
      <c r="A143" s="187"/>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row>
    <row r="144" ht="15.75" customHeight="1">
      <c r="A144" s="187"/>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row>
    <row r="145" ht="15.75" customHeight="1">
      <c r="A145" s="187"/>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row>
    <row r="146" ht="15.75" customHeight="1">
      <c r="A146" s="187"/>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row>
    <row r="147" ht="15.75" customHeight="1">
      <c r="A147" s="187"/>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row>
    <row r="148" ht="15.75" customHeight="1">
      <c r="A148" s="187"/>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row>
    <row r="149" ht="15.75" customHeight="1">
      <c r="A149" s="187"/>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row>
    <row r="150" ht="15.75" customHeight="1">
      <c r="A150" s="187"/>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row>
    <row r="151" ht="15.75" customHeight="1">
      <c r="A151" s="187"/>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row>
    <row r="152" ht="15.75" customHeight="1">
      <c r="A152" s="187"/>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row>
    <row r="153" ht="15.75" customHeight="1">
      <c r="A153" s="187"/>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row>
    <row r="154" ht="15.75" customHeight="1">
      <c r="A154" s="187"/>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row>
    <row r="155" ht="15.75" customHeight="1">
      <c r="A155" s="187"/>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row>
    <row r="156" ht="15.75" customHeight="1">
      <c r="A156" s="187"/>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row>
    <row r="157" ht="15.75" customHeight="1">
      <c r="A157" s="187"/>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row>
    <row r="158" ht="15.75" customHeight="1">
      <c r="A158" s="187"/>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row>
    <row r="159" ht="15.75" customHeight="1">
      <c r="A159" s="187"/>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row>
    <row r="160" ht="15.75" customHeight="1">
      <c r="A160" s="187"/>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row>
    <row r="161" ht="15.75" customHeight="1">
      <c r="A161" s="187"/>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row>
    <row r="162" ht="15.75" customHeight="1">
      <c r="A162" s="187"/>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row>
    <row r="163" ht="15.75" customHeight="1">
      <c r="A163" s="187"/>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row>
    <row r="164" ht="15.75" customHeight="1">
      <c r="A164" s="187"/>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row>
    <row r="165" ht="15.75" customHeight="1">
      <c r="A165" s="187"/>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row>
    <row r="166" ht="15.75" customHeight="1">
      <c r="A166" s="187"/>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ht="15.75" customHeight="1">
      <c r="A167" s="187"/>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row>
    <row r="168" ht="15.75" customHeight="1">
      <c r="A168" s="187"/>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row>
    <row r="169" ht="15.75" customHeight="1">
      <c r="A169" s="187"/>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row>
    <row r="170" ht="15.75" customHeight="1">
      <c r="A170" s="187"/>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row>
    <row r="171" ht="15.75" customHeight="1">
      <c r="A171" s="187"/>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row>
    <row r="172" ht="15.75" customHeight="1">
      <c r="A172" s="187"/>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row>
    <row r="173" ht="15.75" customHeight="1">
      <c r="A173" s="187"/>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row>
    <row r="174" ht="15.75" customHeight="1">
      <c r="A174" s="187"/>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row>
    <row r="175" ht="15.75" customHeight="1">
      <c r="A175" s="187"/>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row>
    <row r="176" ht="15.75" customHeight="1">
      <c r="A176" s="187"/>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row>
    <row r="177" ht="15.75" customHeight="1">
      <c r="A177" s="187"/>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row>
    <row r="178" ht="15.75" customHeight="1">
      <c r="A178" s="187"/>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row>
    <row r="179" ht="15.75" customHeight="1">
      <c r="A179" s="187"/>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row>
    <row r="180" ht="15.75" customHeight="1">
      <c r="A180" s="187"/>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row>
    <row r="181" ht="15.75" customHeight="1">
      <c r="A181" s="187"/>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row>
    <row r="182" ht="15.75" customHeight="1">
      <c r="A182" s="187"/>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row>
    <row r="183" ht="15.75" customHeight="1">
      <c r="A183" s="187"/>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row>
    <row r="184" ht="15.75" customHeight="1">
      <c r="A184" s="187"/>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row>
    <row r="185" ht="15.75" customHeight="1">
      <c r="A185" s="187"/>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row>
    <row r="186" ht="15.75" customHeight="1">
      <c r="A186" s="187"/>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row>
    <row r="187" ht="15.75" customHeight="1">
      <c r="A187" s="187"/>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row>
    <row r="188" ht="15.75" customHeight="1">
      <c r="A188" s="187"/>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row>
    <row r="189" ht="15.75" customHeight="1">
      <c r="A189" s="187"/>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row>
    <row r="190" ht="15.75" customHeight="1">
      <c r="A190" s="187"/>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row>
    <row r="191" ht="15.75" customHeight="1">
      <c r="A191" s="187"/>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row>
    <row r="192" ht="15.75" customHeight="1">
      <c r="A192" s="187"/>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row>
    <row r="193" ht="15.75" customHeight="1">
      <c r="A193" s="187"/>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row>
    <row r="194" ht="15.75" customHeight="1">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row>
    <row r="195" ht="15.75" customHeight="1">
      <c r="A195" s="187"/>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row>
    <row r="196" ht="15.75" customHeight="1">
      <c r="A196" s="187"/>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row>
    <row r="197" ht="15.75" customHeight="1">
      <c r="A197" s="187"/>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row>
    <row r="198" ht="15.75" customHeight="1">
      <c r="A198" s="187"/>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row>
    <row r="199" ht="15.75" customHeight="1">
      <c r="A199" s="187"/>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row>
    <row r="200" ht="15.75" customHeight="1">
      <c r="A200" s="187"/>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row>
    <row r="201" ht="15.75" customHeight="1">
      <c r="A201" s="187"/>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row>
    <row r="202" ht="15.75" customHeight="1">
      <c r="A202" s="187"/>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row>
    <row r="203" ht="15.75" customHeight="1">
      <c r="A203" s="187"/>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row>
    <row r="204" ht="15.75" customHeight="1">
      <c r="A204" s="187"/>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row>
    <row r="205" ht="15.75" customHeight="1">
      <c r="A205" s="187"/>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row>
    <row r="206" ht="15.75" customHeight="1">
      <c r="A206" s="187"/>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row>
    <row r="207" ht="15.75" customHeight="1">
      <c r="A207" s="187"/>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row>
    <row r="208" ht="15.75" customHeight="1">
      <c r="A208" s="187"/>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row>
    <row r="209" ht="15.75" customHeight="1">
      <c r="A209" s="187"/>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row>
    <row r="210" ht="15.75" customHeight="1">
      <c r="A210" s="187"/>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row>
    <row r="211" ht="15.75" customHeight="1">
      <c r="A211" s="187"/>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row>
    <row r="212" ht="15.75" customHeight="1">
      <c r="A212" s="187"/>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row>
    <row r="213" ht="15.75" customHeight="1">
      <c r="A213" s="187"/>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row>
    <row r="214" ht="15.75" customHeight="1">
      <c r="A214" s="187"/>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row>
    <row r="215" ht="15.75" customHeight="1">
      <c r="A215" s="187"/>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row>
    <row r="216" ht="15.75" customHeight="1">
      <c r="A216" s="187"/>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row>
    <row r="217" ht="15.75" customHeight="1">
      <c r="A217" s="187"/>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row>
    <row r="218" ht="15.75" customHeight="1">
      <c r="A218" s="187"/>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row>
    <row r="219" ht="15.75" customHeight="1">
      <c r="A219" s="187"/>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row>
    <row r="220" ht="15.75" customHeight="1">
      <c r="A220" s="187"/>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row>
    <row r="221" ht="15.75" customHeight="1">
      <c r="A221" s="187"/>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row>
    <row r="222" ht="15.75" customHeight="1">
      <c r="A222" s="187"/>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row>
    <row r="223" ht="15.75" customHeight="1">
      <c r="A223" s="187"/>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row>
    <row r="224" ht="15.75" customHeight="1">
      <c r="A224" s="187"/>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row>
    <row r="225" ht="15.75" customHeight="1">
      <c r="A225" s="187"/>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row>
    <row r="226" ht="15.75" customHeight="1">
      <c r="A226" s="187"/>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row>
    <row r="227" ht="15.75" customHeight="1">
      <c r="A227" s="187"/>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row>
    <row r="228" ht="15.75" customHeight="1">
      <c r="A228" s="187"/>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row>
    <row r="229" ht="15.75" customHeight="1">
      <c r="A229" s="187"/>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row>
    <row r="230" ht="15.75" customHeight="1">
      <c r="A230" s="187"/>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row>
    <row r="231" ht="15.75" customHeight="1">
      <c r="A231" s="187"/>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row>
    <row r="232" ht="15.75" customHeight="1">
      <c r="A232" s="187"/>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row>
    <row r="233" ht="15.75" customHeight="1">
      <c r="A233" s="187"/>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row>
    <row r="234" ht="15.75" customHeight="1">
      <c r="A234" s="187"/>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row>
    <row r="235" ht="15.75" customHeight="1">
      <c r="A235" s="187"/>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row>
    <row r="236" ht="15.75" customHeight="1">
      <c r="A236" s="187"/>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row>
    <row r="237" ht="15.75" customHeight="1">
      <c r="A237" s="187"/>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row>
    <row r="238" ht="15.75" customHeight="1">
      <c r="A238" s="187"/>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row>
    <row r="239" ht="15.75" customHeight="1">
      <c r="A239" s="187"/>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row>
    <row r="240" ht="15.75" customHeight="1">
      <c r="A240" s="187"/>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row>
    <row r="241" ht="15.75" customHeight="1">
      <c r="A241" s="187"/>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row>
    <row r="242" ht="15.75" customHeight="1">
      <c r="A242" s="187"/>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row>
    <row r="243" ht="15.75" customHeight="1">
      <c r="A243" s="187"/>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row>
    <row r="244" ht="15.75" customHeight="1">
      <c r="A244" s="187"/>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row>
    <row r="245" ht="15.75" customHeight="1">
      <c r="A245" s="187"/>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row>
    <row r="246" ht="15.75" customHeight="1">
      <c r="A246" s="187"/>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row>
    <row r="247" ht="15.75" customHeight="1">
      <c r="A247" s="187"/>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row>
    <row r="248" ht="15.75" customHeight="1">
      <c r="A248" s="187"/>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row>
    <row r="249" ht="15.75" customHeight="1">
      <c r="A249" s="18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row>
    <row r="250" ht="15.75" customHeight="1">
      <c r="A250" s="187"/>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row>
    <row r="251" ht="15.75" customHeight="1">
      <c r="A251" s="187"/>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row>
    <row r="252" ht="15.75" customHeight="1">
      <c r="A252" s="187"/>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row>
    <row r="253" ht="15.75" customHeight="1">
      <c r="A253" s="187"/>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row>
    <row r="254" ht="15.75" customHeight="1">
      <c r="A254" s="187"/>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row>
    <row r="255" ht="15.75" customHeight="1">
      <c r="A255" s="187"/>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row>
    <row r="256" ht="15.75" customHeight="1">
      <c r="A256" s="187"/>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row>
    <row r="257" ht="15.75" customHeight="1">
      <c r="A257" s="187"/>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row>
    <row r="258" ht="15.75" customHeight="1">
      <c r="A258" s="187"/>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row>
    <row r="259" ht="15.75" customHeight="1">
      <c r="A259" s="187"/>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row>
    <row r="260" ht="15.75" customHeight="1">
      <c r="A260" s="187"/>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row>
    <row r="261" ht="15.75" customHeight="1">
      <c r="A261" s="187"/>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row>
    <row r="262" ht="15.75" customHeight="1">
      <c r="A262" s="187"/>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row>
    <row r="263" ht="15.75" customHeight="1">
      <c r="A263" s="187"/>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row>
    <row r="264" ht="15.75" customHeight="1">
      <c r="A264" s="187"/>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row>
    <row r="265" ht="15.75" customHeight="1">
      <c r="A265" s="187"/>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row>
    <row r="266" ht="15.75" customHeight="1">
      <c r="A266" s="187"/>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row>
    <row r="267" ht="15.75" customHeight="1">
      <c r="A267" s="187"/>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row>
    <row r="268" ht="15.75" customHeight="1">
      <c r="A268" s="187"/>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row>
    <row r="269" ht="15.75" customHeight="1">
      <c r="A269" s="187"/>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row>
    <row r="270" ht="15.75" customHeight="1">
      <c r="A270" s="187"/>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row>
    <row r="271" ht="15.75" customHeight="1">
      <c r="A271" s="187"/>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row>
    <row r="272" ht="15.75" customHeight="1">
      <c r="A272" s="187"/>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row>
    <row r="273" ht="15.75" customHeight="1">
      <c r="A273" s="187"/>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row>
    <row r="274" ht="15.75" customHeight="1">
      <c r="A274" s="18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row>
    <row r="275" ht="15.75" customHeight="1">
      <c r="A275" s="187"/>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row>
    <row r="276" ht="15.75" customHeight="1">
      <c r="A276" s="18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row>
    <row r="277" ht="15.75" customHeight="1">
      <c r="A277" s="18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row>
    <row r="278" ht="15.75" customHeight="1">
      <c r="A278" s="18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row>
    <row r="279" ht="15.75" customHeight="1">
      <c r="A279" s="187"/>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row>
    <row r="280" ht="15.75" customHeight="1">
      <c r="A280" s="187"/>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row>
    <row r="281" ht="15.75" customHeight="1">
      <c r="A281" s="187"/>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row>
    <row r="282" ht="15.75" customHeight="1">
      <c r="A282" s="187"/>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row>
    <row r="283" ht="15.75" customHeight="1">
      <c r="A283" s="187"/>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row>
    <row r="284" ht="15.75" customHeight="1">
      <c r="A284" s="187"/>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row>
    <row r="285" ht="15.75" customHeight="1">
      <c r="A285" s="187"/>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row>
    <row r="286" ht="15.75" customHeight="1">
      <c r="A286" s="187"/>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row>
    <row r="287" ht="15.75" customHeight="1">
      <c r="A287" s="187"/>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row>
    <row r="288" ht="15.75" customHeight="1">
      <c r="A288" s="187"/>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row>
    <row r="289" ht="15.75" customHeight="1">
      <c r="A289" s="187"/>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row>
    <row r="290" ht="15.75" customHeight="1">
      <c r="A290" s="187"/>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row>
    <row r="291" ht="15.75" customHeight="1">
      <c r="A291" s="187"/>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row>
    <row r="292" ht="15.75" customHeight="1">
      <c r="A292" s="187"/>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row>
    <row r="293" ht="15.75" customHeight="1">
      <c r="A293" s="187"/>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row>
    <row r="294" ht="15.75" customHeight="1">
      <c r="A294" s="187"/>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row>
    <row r="295" ht="15.75" customHeight="1">
      <c r="A295" s="187"/>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row>
    <row r="296" ht="15.75" customHeight="1">
      <c r="A296" s="187"/>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row>
    <row r="297" ht="15.75" customHeight="1">
      <c r="A297" s="187"/>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row>
    <row r="298" ht="15.75" customHeight="1">
      <c r="A298" s="187"/>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row>
    <row r="299" ht="15.75" customHeight="1">
      <c r="A299" s="187"/>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row>
    <row r="300" ht="15.75" customHeight="1">
      <c r="A300" s="187"/>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row>
    <row r="301" ht="15.75" customHeight="1">
      <c r="A301" s="187"/>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row>
    <row r="302" ht="15.75" customHeight="1">
      <c r="A302" s="187"/>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row>
    <row r="303" ht="15.75" customHeight="1">
      <c r="A303" s="187"/>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row>
    <row r="304" ht="15.75" customHeight="1">
      <c r="A304" s="187"/>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row>
    <row r="305" ht="15.75" customHeight="1">
      <c r="A305" s="187"/>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row>
    <row r="306" ht="15.75" customHeight="1">
      <c r="A306" s="187"/>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row>
    <row r="307" ht="15.75" customHeight="1">
      <c r="A307" s="187"/>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row>
    <row r="308" ht="15.75" customHeight="1">
      <c r="A308" s="187"/>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row>
    <row r="309" ht="15.75" customHeight="1">
      <c r="A309" s="187"/>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row>
    <row r="310" ht="15.75" customHeight="1">
      <c r="A310" s="187"/>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row>
    <row r="311" ht="15.75" customHeight="1">
      <c r="A311" s="187"/>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row>
    <row r="312" ht="15.75" customHeight="1">
      <c r="A312" s="187"/>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row>
    <row r="313" ht="15.75" customHeight="1">
      <c r="A313" s="187"/>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row>
    <row r="314" ht="15.75" customHeight="1">
      <c r="A314" s="187"/>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row>
    <row r="315" ht="15.75" customHeight="1">
      <c r="A315" s="187"/>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row>
    <row r="316" ht="15.75" customHeight="1">
      <c r="A316" s="187"/>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row>
    <row r="317" ht="15.75" customHeight="1">
      <c r="A317" s="187"/>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row>
    <row r="318" ht="15.75" customHeight="1">
      <c r="A318" s="187"/>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row>
    <row r="319" ht="15.75" customHeight="1">
      <c r="A319" s="187"/>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row>
    <row r="320" ht="15.75" customHeight="1">
      <c r="A320" s="187"/>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row>
    <row r="321" ht="15.75" customHeight="1">
      <c r="A321" s="187"/>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row>
    <row r="322" ht="15.75" customHeight="1">
      <c r="A322" s="187"/>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row>
    <row r="323" ht="15.75" customHeight="1">
      <c r="A323" s="187"/>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row>
    <row r="324" ht="15.75" customHeight="1">
      <c r="A324" s="187"/>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row>
    <row r="325" ht="15.75" customHeight="1">
      <c r="A325" s="187"/>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row>
    <row r="326" ht="15.75" customHeight="1">
      <c r="A326" s="187"/>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row>
    <row r="327" ht="15.75" customHeight="1">
      <c r="A327" s="187"/>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row>
    <row r="328" ht="15.75" customHeight="1">
      <c r="A328" s="187"/>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row>
    <row r="329" ht="15.75" customHeight="1">
      <c r="A329" s="187"/>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row>
    <row r="330" ht="15.75" customHeight="1">
      <c r="A330" s="187"/>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row>
    <row r="331" ht="15.75" customHeight="1">
      <c r="A331" s="187"/>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row>
    <row r="332" ht="15.75" customHeight="1">
      <c r="A332" s="187"/>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row>
    <row r="333" ht="15.75" customHeight="1">
      <c r="A333" s="187"/>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row>
    <row r="334" ht="15.75" customHeight="1">
      <c r="A334" s="187"/>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row>
    <row r="335" ht="15.75" customHeight="1">
      <c r="A335" s="187"/>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row>
    <row r="336" ht="15.75" customHeight="1">
      <c r="A336" s="187"/>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row>
    <row r="337" ht="15.75" customHeight="1">
      <c r="A337" s="187"/>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row>
    <row r="338" ht="15.75" customHeight="1">
      <c r="A338" s="187"/>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row>
    <row r="339" ht="15.75" customHeight="1">
      <c r="A339" s="187"/>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row>
    <row r="340" ht="15.75" customHeight="1">
      <c r="A340" s="187"/>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row>
    <row r="341" ht="15.75" customHeight="1">
      <c r="A341" s="187"/>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row>
    <row r="342" ht="15.75" customHeight="1">
      <c r="A342" s="187"/>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row>
    <row r="343" ht="15.75" customHeight="1">
      <c r="A343" s="187"/>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row>
    <row r="344" ht="15.75" customHeight="1">
      <c r="A344" s="187"/>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row>
    <row r="345" ht="15.75" customHeight="1">
      <c r="A345" s="187"/>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row>
    <row r="346" ht="15.75" customHeight="1">
      <c r="A346" s="187"/>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row>
    <row r="347" ht="15.75" customHeight="1">
      <c r="A347" s="187"/>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row>
    <row r="348" ht="15.75" customHeight="1">
      <c r="A348" s="187"/>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row>
    <row r="349" ht="15.75" customHeight="1">
      <c r="A349" s="187"/>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row>
    <row r="350" ht="15.75" customHeight="1">
      <c r="A350" s="187"/>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row>
    <row r="351" ht="15.75" customHeight="1">
      <c r="A351" s="187"/>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row>
    <row r="352" ht="15.75" customHeight="1">
      <c r="A352" s="187"/>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row>
    <row r="353" ht="15.75" customHeight="1">
      <c r="A353" s="187"/>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row>
    <row r="354" ht="15.75" customHeight="1">
      <c r="A354" s="187"/>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row>
    <row r="355" ht="15.75" customHeight="1">
      <c r="A355" s="187"/>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row>
    <row r="356" ht="15.75" customHeight="1">
      <c r="A356" s="187"/>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row>
    <row r="357" ht="15.75" customHeight="1">
      <c r="A357" s="187"/>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row>
    <row r="358" ht="15.75" customHeight="1">
      <c r="A358" s="187"/>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row>
    <row r="359" ht="15.75" customHeight="1">
      <c r="A359" s="18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row>
    <row r="360" ht="15.75" customHeight="1">
      <c r="A360" s="187"/>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row>
    <row r="361" ht="15.75" customHeight="1">
      <c r="A361" s="18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row>
    <row r="362" ht="15.75" customHeight="1">
      <c r="A362" s="187"/>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row>
    <row r="363" ht="15.75" customHeight="1">
      <c r="A363" s="187"/>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row>
    <row r="364" ht="15.75" customHeight="1">
      <c r="A364" s="187"/>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row>
    <row r="365" ht="15.75" customHeight="1">
      <c r="A365" s="187"/>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row>
    <row r="366" ht="15.75" customHeight="1">
      <c r="A366" s="187"/>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row>
    <row r="367" ht="15.75" customHeight="1">
      <c r="A367" s="187"/>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row>
    <row r="368" ht="15.75" customHeight="1">
      <c r="A368" s="187"/>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row>
    <row r="369" ht="15.75" customHeight="1">
      <c r="A369" s="187"/>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row>
    <row r="370" ht="15.75" customHeight="1">
      <c r="A370" s="187"/>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row>
    <row r="371" ht="15.75" customHeight="1">
      <c r="A371" s="187"/>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row>
    <row r="372" ht="15.75" customHeight="1">
      <c r="A372" s="187"/>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row>
    <row r="373" ht="15.75" customHeight="1">
      <c r="A373" s="187"/>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row>
    <row r="374" ht="15.75" customHeight="1">
      <c r="A374" s="187"/>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row>
    <row r="375" ht="15.75" customHeight="1">
      <c r="A375" s="187"/>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row>
    <row r="376" ht="15.75" customHeight="1">
      <c r="A376" s="187"/>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row>
    <row r="377" ht="15.75" customHeight="1">
      <c r="A377" s="187"/>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row>
    <row r="378" ht="15.75" customHeight="1">
      <c r="A378" s="187"/>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row>
    <row r="379" ht="15.75" customHeight="1">
      <c r="A379" s="187"/>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row>
    <row r="380" ht="15.75" customHeight="1">
      <c r="A380" s="187"/>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row>
    <row r="381" ht="15.75" customHeight="1">
      <c r="A381" s="187"/>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row>
    <row r="382" ht="15.75" customHeight="1">
      <c r="A382" s="187"/>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row>
    <row r="383" ht="15.75" customHeight="1">
      <c r="A383" s="187"/>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row>
    <row r="384" ht="15.75" customHeight="1">
      <c r="A384" s="187"/>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row>
    <row r="385" ht="15.75" customHeight="1">
      <c r="A385" s="187"/>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row>
    <row r="386" ht="15.75" customHeight="1">
      <c r="A386" s="187"/>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row>
    <row r="387" ht="15.75" customHeight="1">
      <c r="A387" s="187"/>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row>
    <row r="388" ht="15.75" customHeight="1">
      <c r="A388" s="18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row>
    <row r="389" ht="15.75" customHeight="1">
      <c r="A389" s="187"/>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row>
    <row r="390" ht="15.75" customHeight="1">
      <c r="A390" s="18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row>
    <row r="391" ht="15.75" customHeight="1">
      <c r="A391" s="187"/>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row>
    <row r="392" ht="15.75" customHeight="1">
      <c r="A392" s="187"/>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row>
    <row r="393" ht="15.75" customHeight="1">
      <c r="A393" s="187"/>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row>
    <row r="394" ht="15.75" customHeight="1">
      <c r="A394" s="187"/>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row>
    <row r="395" ht="15.75" customHeight="1">
      <c r="A395" s="187"/>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row>
    <row r="396" ht="15.75" customHeight="1">
      <c r="A396" s="187"/>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row>
    <row r="397" ht="15.75" customHeight="1">
      <c r="A397" s="187"/>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row>
    <row r="398" ht="15.75" customHeight="1">
      <c r="A398" s="187"/>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row>
    <row r="399" ht="15.75" customHeight="1">
      <c r="A399" s="187"/>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row>
    <row r="400" ht="15.75" customHeight="1">
      <c r="A400" s="187"/>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row>
    <row r="401" ht="15.75" customHeight="1">
      <c r="A401" s="187"/>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row>
    <row r="402" ht="15.75" customHeight="1">
      <c r="A402" s="187"/>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row>
    <row r="403" ht="15.75" customHeight="1">
      <c r="A403" s="187"/>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row>
    <row r="404" ht="15.75" customHeight="1">
      <c r="A404" s="187"/>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row>
    <row r="405" ht="15.75" customHeight="1">
      <c r="A405" s="187"/>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row>
    <row r="406" ht="15.75" customHeight="1">
      <c r="A406" s="187"/>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row>
    <row r="407" ht="15.75" customHeight="1">
      <c r="A407" s="187"/>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row>
    <row r="408" ht="15.75" customHeight="1">
      <c r="A408" s="187"/>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row>
    <row r="409" ht="15.75" customHeight="1">
      <c r="A409" s="187"/>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row>
    <row r="410" ht="15.75" customHeight="1">
      <c r="A410" s="187"/>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row>
    <row r="411" ht="15.75" customHeight="1">
      <c r="A411" s="187"/>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row>
    <row r="412" ht="15.75" customHeight="1">
      <c r="A412" s="187"/>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row>
    <row r="413" ht="15.75" customHeight="1">
      <c r="A413" s="187"/>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row>
    <row r="414" ht="15.75" customHeight="1">
      <c r="A414" s="187"/>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row>
    <row r="415" ht="15.75" customHeight="1">
      <c r="A415" s="187"/>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row>
    <row r="416" ht="15.75" customHeight="1">
      <c r="A416" s="187"/>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row>
    <row r="417" ht="15.75" customHeight="1">
      <c r="A417" s="187"/>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row>
    <row r="418" ht="15.75" customHeight="1">
      <c r="A418" s="18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row>
    <row r="419" ht="15.75" customHeight="1">
      <c r="A419" s="187"/>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row>
    <row r="420" ht="15.75" customHeight="1">
      <c r="A420" s="187"/>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row>
    <row r="421" ht="15.75" customHeight="1">
      <c r="A421" s="187"/>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row>
    <row r="422" ht="15.75" customHeight="1">
      <c r="A422" s="187"/>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row>
    <row r="423" ht="15.75" customHeight="1">
      <c r="A423" s="187"/>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row>
    <row r="424" ht="15.75" customHeight="1">
      <c r="A424" s="187"/>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row>
    <row r="425" ht="15.75" customHeight="1">
      <c r="A425" s="187"/>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row>
    <row r="426" ht="15.75" customHeight="1">
      <c r="A426" s="187"/>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row>
    <row r="427" ht="15.75" customHeight="1">
      <c r="A427" s="187"/>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row>
    <row r="428" ht="15.75" customHeight="1">
      <c r="A428" s="187"/>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row>
    <row r="429" ht="15.75" customHeight="1">
      <c r="A429" s="187"/>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row>
    <row r="430" ht="15.75" customHeight="1">
      <c r="A430" s="187"/>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row>
    <row r="431" ht="15.75" customHeight="1">
      <c r="A431" s="187"/>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row>
    <row r="432" ht="15.75" customHeight="1">
      <c r="A432" s="187"/>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row>
    <row r="433" ht="15.75" customHeight="1">
      <c r="A433" s="187"/>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row>
    <row r="434" ht="15.75" customHeight="1">
      <c r="A434" s="187"/>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row>
    <row r="435" ht="15.75" customHeight="1">
      <c r="A435" s="187"/>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row>
    <row r="436" ht="15.75" customHeight="1">
      <c r="A436" s="187"/>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row>
    <row r="437" ht="15.75" customHeight="1">
      <c r="A437" s="187"/>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row>
    <row r="438" ht="15.75" customHeight="1">
      <c r="A438" s="187"/>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row>
    <row r="439" ht="15.75" customHeight="1">
      <c r="A439" s="187"/>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row>
    <row r="440" ht="15.75" customHeight="1">
      <c r="A440" s="187"/>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row>
    <row r="441" ht="15.75" customHeight="1">
      <c r="A441" s="187"/>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row>
    <row r="442" ht="15.75" customHeight="1">
      <c r="A442" s="187"/>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row>
    <row r="443" ht="15.75" customHeight="1">
      <c r="A443" s="187"/>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row>
    <row r="444" ht="15.75" customHeight="1">
      <c r="A444" s="187"/>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row>
    <row r="445" ht="15.75" customHeight="1">
      <c r="A445" s="187"/>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row>
    <row r="446" ht="15.75" customHeight="1">
      <c r="A446" s="187"/>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row>
    <row r="447" ht="15.75" customHeight="1">
      <c r="A447" s="18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row>
    <row r="448" ht="15.75" customHeight="1">
      <c r="A448" s="187"/>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row>
    <row r="449" ht="15.75" customHeight="1">
      <c r="A449" s="187"/>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row>
    <row r="450" ht="15.75" customHeight="1">
      <c r="A450" s="187"/>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row>
    <row r="451" ht="15.75" customHeight="1">
      <c r="A451" s="187"/>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row>
    <row r="452" ht="15.75" customHeight="1">
      <c r="A452" s="187"/>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row>
    <row r="453" ht="15.75" customHeight="1">
      <c r="A453" s="187"/>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row>
    <row r="454" ht="15.75" customHeight="1">
      <c r="A454" s="187"/>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row>
    <row r="455" ht="15.75" customHeight="1">
      <c r="A455" s="187"/>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row>
    <row r="456" ht="15.75" customHeight="1">
      <c r="A456" s="187"/>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row>
    <row r="457" ht="15.75" customHeight="1">
      <c r="A457" s="187"/>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row>
    <row r="458" ht="15.75" customHeight="1">
      <c r="A458" s="187"/>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row>
    <row r="459" ht="15.75" customHeight="1">
      <c r="A459" s="187"/>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row>
    <row r="460" ht="15.75" customHeight="1">
      <c r="A460" s="187"/>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row>
    <row r="461" ht="15.75" customHeight="1">
      <c r="A461" s="187"/>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row>
    <row r="462" ht="15.75" customHeight="1">
      <c r="A462" s="187"/>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row>
    <row r="463" ht="15.75" customHeight="1">
      <c r="A463" s="187"/>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row>
    <row r="464" ht="15.75" customHeight="1">
      <c r="A464" s="187"/>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row>
    <row r="465" ht="15.75" customHeight="1">
      <c r="A465" s="187"/>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row>
    <row r="466" ht="15.75" customHeight="1">
      <c r="A466" s="187"/>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row>
    <row r="467" ht="15.75" customHeight="1">
      <c r="A467" s="187"/>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row>
    <row r="468" ht="15.75" customHeight="1">
      <c r="A468" s="187"/>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row>
    <row r="469" ht="15.75" customHeight="1">
      <c r="A469" s="187"/>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row>
    <row r="470" ht="15.75" customHeight="1">
      <c r="A470" s="187"/>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row>
    <row r="471" ht="15.75" customHeight="1">
      <c r="A471" s="187"/>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row>
    <row r="472" ht="15.75" customHeight="1">
      <c r="A472" s="187"/>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row>
    <row r="473" ht="15.75" customHeight="1">
      <c r="A473" s="187"/>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row>
    <row r="474" ht="15.75" customHeight="1">
      <c r="A474" s="187"/>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row>
    <row r="475" ht="15.75" customHeight="1">
      <c r="A475" s="187"/>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row>
    <row r="476" ht="15.75" customHeight="1">
      <c r="A476" s="187"/>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row>
    <row r="477" ht="15.75" customHeight="1">
      <c r="A477" s="187"/>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row>
    <row r="478" ht="15.75" customHeight="1">
      <c r="A478" s="187"/>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row>
    <row r="479" ht="15.75" customHeight="1">
      <c r="A479" s="187"/>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row>
    <row r="480" ht="15.75" customHeight="1">
      <c r="A480" s="187"/>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row>
    <row r="481" ht="15.75" customHeight="1">
      <c r="A481" s="187"/>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row>
    <row r="482" ht="15.75" customHeight="1">
      <c r="A482" s="187"/>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row>
    <row r="483" ht="15.75" customHeight="1">
      <c r="A483" s="187"/>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row>
    <row r="484" ht="15.75" customHeight="1">
      <c r="A484" s="187"/>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row>
    <row r="485" ht="15.75" customHeight="1">
      <c r="A485" s="187"/>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row>
    <row r="486" ht="15.75" customHeight="1">
      <c r="A486" s="187"/>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row>
    <row r="487" ht="15.75" customHeight="1">
      <c r="A487" s="187"/>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row>
    <row r="488" ht="15.75" customHeight="1">
      <c r="A488" s="187"/>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row>
    <row r="489" ht="15.75" customHeight="1">
      <c r="A489" s="187"/>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row>
    <row r="490" ht="15.75" customHeight="1">
      <c r="A490" s="187"/>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row>
    <row r="491" ht="15.75" customHeight="1">
      <c r="A491" s="187"/>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row>
    <row r="492" ht="15.75" customHeight="1">
      <c r="A492" s="187"/>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row>
    <row r="493" ht="15.75" customHeight="1">
      <c r="A493" s="187"/>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row>
    <row r="494" ht="15.75" customHeight="1">
      <c r="A494" s="187"/>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row>
    <row r="495" ht="15.75" customHeight="1">
      <c r="A495" s="187"/>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row>
    <row r="496" ht="15.75" customHeight="1">
      <c r="A496" s="187"/>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row>
    <row r="497" ht="15.75" customHeight="1">
      <c r="A497" s="187"/>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row>
    <row r="498" ht="15.75" customHeight="1">
      <c r="A498" s="187"/>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row>
    <row r="499" ht="15.75" customHeight="1">
      <c r="A499" s="187"/>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row>
    <row r="500" ht="15.75" customHeight="1">
      <c r="A500" s="187"/>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row>
    <row r="501" ht="15.75" customHeight="1">
      <c r="A501" s="187"/>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row>
    <row r="502" ht="15.75" customHeight="1">
      <c r="A502" s="187"/>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row>
    <row r="503" ht="15.75" customHeight="1">
      <c r="A503" s="187"/>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row>
    <row r="504" ht="15.75" customHeight="1">
      <c r="A504" s="187"/>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row>
    <row r="505" ht="15.75" customHeight="1">
      <c r="A505" s="187"/>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row>
    <row r="506" ht="15.75" customHeight="1">
      <c r="A506" s="187"/>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row>
    <row r="507" ht="15.75" customHeight="1">
      <c r="A507" s="187"/>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row>
    <row r="508" ht="15.75" customHeight="1">
      <c r="A508" s="187"/>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row>
    <row r="509" ht="15.75" customHeight="1">
      <c r="A509" s="187"/>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row>
    <row r="510" ht="15.75" customHeight="1">
      <c r="A510" s="187"/>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row>
    <row r="511" ht="15.75" customHeight="1">
      <c r="A511" s="187"/>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row>
    <row r="512" ht="15.75" customHeight="1">
      <c r="A512" s="187"/>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row>
    <row r="513" ht="15.75" customHeight="1">
      <c r="A513" s="187"/>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row>
    <row r="514" ht="15.75" customHeight="1">
      <c r="A514" s="187"/>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row>
    <row r="515" ht="15.75" customHeight="1">
      <c r="A515" s="187"/>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row>
    <row r="516" ht="15.75" customHeight="1">
      <c r="A516" s="187"/>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row>
    <row r="517" ht="15.75" customHeight="1">
      <c r="A517" s="187"/>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row>
    <row r="518" ht="15.75" customHeight="1">
      <c r="A518" s="187"/>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row>
    <row r="519" ht="15.75" customHeight="1">
      <c r="A519" s="187"/>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row>
    <row r="520" ht="15.75" customHeight="1">
      <c r="A520" s="187"/>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row>
    <row r="521" ht="15.75" customHeight="1">
      <c r="A521" s="187"/>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row>
    <row r="522" ht="15.75" customHeight="1">
      <c r="A522" s="187"/>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row>
    <row r="523" ht="15.75" customHeight="1">
      <c r="A523" s="187"/>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row>
    <row r="524" ht="15.75" customHeight="1">
      <c r="A524" s="187"/>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row>
    <row r="525" ht="15.75" customHeight="1">
      <c r="A525" s="187"/>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row>
    <row r="526" ht="15.75" customHeight="1">
      <c r="A526" s="187"/>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row>
    <row r="527" ht="15.75" customHeight="1">
      <c r="A527" s="187"/>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row>
    <row r="528" ht="15.75" customHeight="1">
      <c r="A528" s="187"/>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row>
    <row r="529" ht="15.75" customHeight="1">
      <c r="A529" s="187"/>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row>
    <row r="530" ht="15.75" customHeight="1">
      <c r="A530" s="187"/>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row>
    <row r="531" ht="15.75" customHeight="1">
      <c r="A531" s="187"/>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row>
    <row r="532" ht="15.75" customHeight="1">
      <c r="A532" s="187"/>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row>
    <row r="533" ht="15.75" customHeight="1">
      <c r="A533" s="187"/>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row>
    <row r="534" ht="15.75" customHeight="1">
      <c r="A534" s="187"/>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row>
    <row r="535" ht="15.75" customHeight="1">
      <c r="A535" s="187"/>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row>
    <row r="536" ht="15.75" customHeight="1">
      <c r="A536" s="187"/>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row>
    <row r="537" ht="15.75" customHeight="1">
      <c r="A537" s="187"/>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row>
    <row r="538" ht="15.75" customHeight="1">
      <c r="A538" s="187"/>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row>
    <row r="539" ht="15.75" customHeight="1">
      <c r="A539" s="187"/>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row>
    <row r="540" ht="15.75" customHeight="1">
      <c r="A540" s="187"/>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row>
    <row r="541" ht="15.75" customHeight="1">
      <c r="A541" s="187"/>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row>
    <row r="542" ht="15.75" customHeight="1">
      <c r="A542" s="187"/>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row>
    <row r="543" ht="15.75" customHeight="1">
      <c r="A543" s="187"/>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row>
    <row r="544" ht="15.75" customHeight="1">
      <c r="A544" s="187"/>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row>
    <row r="545" ht="15.75" customHeight="1">
      <c r="A545" s="187"/>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row>
    <row r="546" ht="15.75" customHeight="1">
      <c r="A546" s="187"/>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row>
    <row r="547" ht="15.75" customHeight="1">
      <c r="A547" s="187"/>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row>
    <row r="548" ht="15.75" customHeight="1">
      <c r="A548" s="187"/>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row>
    <row r="549" ht="15.75" customHeight="1">
      <c r="A549" s="187"/>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row>
    <row r="550" ht="15.75" customHeight="1">
      <c r="A550" s="187"/>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row>
    <row r="551" ht="15.75" customHeight="1">
      <c r="A551" s="187"/>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row>
    <row r="552" ht="15.75" customHeight="1">
      <c r="A552" s="187"/>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row>
    <row r="553" ht="15.75" customHeight="1">
      <c r="A553" s="187"/>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row>
    <row r="554" ht="15.75" customHeight="1">
      <c r="A554" s="187"/>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row>
    <row r="555" ht="15.75" customHeight="1">
      <c r="A555" s="187"/>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row>
    <row r="556" ht="15.75" customHeight="1">
      <c r="A556" s="187"/>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row>
    <row r="557" ht="15.75" customHeight="1">
      <c r="A557" s="187"/>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row>
    <row r="558" ht="15.75" customHeight="1">
      <c r="A558" s="187"/>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row>
    <row r="559" ht="15.75" customHeight="1">
      <c r="A559" s="187"/>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row>
    <row r="560" ht="15.75" customHeight="1">
      <c r="A560" s="187"/>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row>
    <row r="561" ht="15.75" customHeight="1">
      <c r="A561" s="187"/>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row>
    <row r="562" ht="15.75" customHeight="1">
      <c r="A562" s="187"/>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row>
    <row r="563" ht="15.75" customHeight="1">
      <c r="A563" s="187"/>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row>
    <row r="564" ht="15.75" customHeight="1">
      <c r="A564" s="187"/>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row>
    <row r="565" ht="15.75" customHeight="1">
      <c r="A565" s="187"/>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row>
    <row r="566" ht="15.75" customHeight="1">
      <c r="A566" s="187"/>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row>
    <row r="567" ht="15.75" customHeight="1">
      <c r="A567" s="187"/>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row>
    <row r="568" ht="15.75" customHeight="1">
      <c r="A568" s="187"/>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row>
    <row r="569" ht="15.75" customHeight="1">
      <c r="A569" s="187"/>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row>
    <row r="570" ht="15.75" customHeight="1">
      <c r="A570" s="187"/>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row>
    <row r="571" ht="15.75" customHeight="1">
      <c r="A571" s="187"/>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row>
    <row r="572" ht="15.75" customHeight="1">
      <c r="A572" s="187"/>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row>
    <row r="573" ht="15.75" customHeight="1">
      <c r="A573" s="187"/>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row>
    <row r="574" ht="15.75" customHeight="1">
      <c r="A574" s="187"/>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row>
    <row r="575" ht="15.75" customHeight="1">
      <c r="A575" s="187"/>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row>
    <row r="576" ht="15.75" customHeight="1">
      <c r="A576" s="187"/>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row>
    <row r="577" ht="15.75" customHeight="1">
      <c r="A577" s="187"/>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row>
    <row r="578" ht="15.75" customHeight="1">
      <c r="A578" s="187"/>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row>
    <row r="579" ht="15.75" customHeight="1">
      <c r="A579" s="187"/>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row>
    <row r="580" ht="15.75" customHeight="1">
      <c r="A580" s="187"/>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row>
    <row r="581" ht="15.75" customHeight="1">
      <c r="A581" s="187"/>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row>
    <row r="582" ht="15.75" customHeight="1">
      <c r="A582" s="187"/>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row>
    <row r="583" ht="15.75" customHeight="1">
      <c r="A583" s="187"/>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row>
    <row r="584" ht="15.75" customHeight="1">
      <c r="A584" s="187"/>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row>
    <row r="585" ht="15.75" customHeight="1">
      <c r="A585" s="187"/>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row>
    <row r="586" ht="15.75" customHeight="1">
      <c r="A586" s="187"/>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row>
    <row r="587" ht="15.75" customHeight="1">
      <c r="A587" s="187"/>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row>
    <row r="588" ht="15.75" customHeight="1">
      <c r="A588" s="187"/>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row>
    <row r="589" ht="15.75" customHeight="1">
      <c r="A589" s="187"/>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row>
    <row r="590" ht="15.75" customHeight="1">
      <c r="A590" s="187"/>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row>
    <row r="591" ht="15.75" customHeight="1">
      <c r="A591" s="187"/>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row>
    <row r="592" ht="15.75" customHeight="1">
      <c r="A592" s="187"/>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row>
    <row r="593" ht="15.75" customHeight="1">
      <c r="A593" s="187"/>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row>
    <row r="594" ht="15.75" customHeight="1">
      <c r="A594" s="187"/>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row>
    <row r="595" ht="15.75" customHeight="1">
      <c r="A595" s="187"/>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row>
    <row r="596" ht="15.75" customHeight="1">
      <c r="A596" s="187"/>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row>
    <row r="597" ht="15.75" customHeight="1">
      <c r="A597" s="187"/>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row>
    <row r="598" ht="15.75" customHeight="1">
      <c r="A598" s="187"/>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row>
    <row r="599" ht="15.75" customHeight="1">
      <c r="A599" s="187"/>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row>
    <row r="600" ht="15.75" customHeight="1">
      <c r="A600" s="187"/>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row>
    <row r="601" ht="15.75" customHeight="1">
      <c r="A601" s="187"/>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row>
    <row r="602" ht="15.75" customHeight="1">
      <c r="A602" s="187"/>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row>
    <row r="603" ht="15.75" customHeight="1">
      <c r="A603" s="187"/>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row>
    <row r="604" ht="15.75" customHeight="1">
      <c r="A604" s="187"/>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row>
    <row r="605" ht="15.75" customHeight="1">
      <c r="A605" s="187"/>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row>
    <row r="606" ht="15.75" customHeight="1">
      <c r="A606" s="187"/>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row>
    <row r="607" ht="15.75" customHeight="1">
      <c r="A607" s="187"/>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row>
    <row r="608" ht="15.75" customHeight="1">
      <c r="A608" s="187"/>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row>
    <row r="609" ht="15.75" customHeight="1">
      <c r="A609" s="187"/>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row>
    <row r="610" ht="15.75" customHeight="1">
      <c r="A610" s="187"/>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row>
    <row r="611" ht="15.75" customHeight="1">
      <c r="A611" s="187"/>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row>
    <row r="612" ht="15.75" customHeight="1">
      <c r="A612" s="187"/>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row>
    <row r="613" ht="15.75" customHeight="1">
      <c r="A613" s="187"/>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row>
    <row r="614" ht="15.75" customHeight="1">
      <c r="A614" s="187"/>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row>
    <row r="615" ht="15.75" customHeight="1">
      <c r="A615" s="187"/>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row>
    <row r="616" ht="15.75" customHeight="1">
      <c r="A616" s="187"/>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row>
    <row r="617" ht="15.75" customHeight="1">
      <c r="A617" s="187"/>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row>
    <row r="618" ht="15.75" customHeight="1">
      <c r="A618" s="187"/>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row>
    <row r="619" ht="15.75" customHeight="1">
      <c r="A619" s="187"/>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row>
    <row r="620" ht="15.75" customHeight="1">
      <c r="A620" s="187"/>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row>
    <row r="621" ht="15.75" customHeight="1">
      <c r="A621" s="187"/>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row>
    <row r="622" ht="15.75" customHeight="1">
      <c r="A622" s="187"/>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row>
    <row r="623" ht="15.75" customHeight="1">
      <c r="A623" s="187"/>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row>
    <row r="624" ht="15.75" customHeight="1">
      <c r="A624" s="187"/>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row>
    <row r="625" ht="15.75" customHeight="1">
      <c r="A625" s="187"/>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row>
    <row r="626" ht="15.75" customHeight="1">
      <c r="A626" s="187"/>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row>
    <row r="627" ht="15.75" customHeight="1">
      <c r="A627" s="187"/>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row>
    <row r="628" ht="15.75" customHeight="1">
      <c r="A628" s="187"/>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row>
    <row r="629" ht="15.75" customHeight="1">
      <c r="A629" s="187"/>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row>
    <row r="630" ht="15.75" customHeight="1">
      <c r="A630" s="187"/>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row>
    <row r="631" ht="15.75" customHeight="1">
      <c r="A631" s="187"/>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row>
    <row r="632" ht="15.75" customHeight="1">
      <c r="A632" s="187"/>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row>
    <row r="633" ht="15.75" customHeight="1">
      <c r="A633" s="187"/>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row>
    <row r="634" ht="15.75" customHeight="1">
      <c r="A634" s="187"/>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row>
    <row r="635" ht="15.75" customHeight="1">
      <c r="A635" s="187"/>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row>
    <row r="636" ht="15.75" customHeight="1">
      <c r="A636" s="187"/>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row>
    <row r="637" ht="15.75" customHeight="1">
      <c r="A637" s="187"/>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row>
    <row r="638" ht="15.75" customHeight="1">
      <c r="A638" s="187"/>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row>
    <row r="639" ht="15.75" customHeight="1">
      <c r="A639" s="187"/>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row>
    <row r="640" ht="15.75" customHeight="1">
      <c r="A640" s="187"/>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row>
    <row r="641" ht="15.75" customHeight="1">
      <c r="A641" s="187"/>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row>
    <row r="642" ht="15.75" customHeight="1">
      <c r="A642" s="187"/>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row>
    <row r="643" ht="15.75" customHeight="1">
      <c r="A643" s="187"/>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row>
    <row r="644" ht="15.75" customHeight="1">
      <c r="A644" s="187"/>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row>
    <row r="645" ht="15.75" customHeight="1">
      <c r="A645" s="187"/>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row>
    <row r="646" ht="15.75" customHeight="1">
      <c r="A646" s="187"/>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row>
    <row r="647" ht="15.75" customHeight="1">
      <c r="A647" s="187"/>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row>
    <row r="648" ht="15.75" customHeight="1">
      <c r="A648" s="187"/>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row>
    <row r="649" ht="15.75" customHeight="1">
      <c r="A649" s="187"/>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row>
    <row r="650" ht="15.75" customHeight="1">
      <c r="A650" s="187"/>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row>
    <row r="651" ht="15.75" customHeight="1">
      <c r="A651" s="187"/>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row>
    <row r="652" ht="15.75" customHeight="1">
      <c r="A652" s="187"/>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row>
    <row r="653" ht="15.75" customHeight="1">
      <c r="A653" s="187"/>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row>
    <row r="654" ht="15.75" customHeight="1">
      <c r="A654" s="187"/>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row>
    <row r="655" ht="15.75" customHeight="1">
      <c r="A655" s="187"/>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row>
    <row r="656" ht="15.75" customHeight="1">
      <c r="A656" s="187"/>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row>
    <row r="657" ht="15.75" customHeight="1">
      <c r="A657" s="187"/>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row>
    <row r="658" ht="15.75" customHeight="1">
      <c r="A658" s="187"/>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row>
    <row r="659" ht="15.75" customHeight="1">
      <c r="A659" s="187"/>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row>
    <row r="660" ht="15.75" customHeight="1">
      <c r="A660" s="187"/>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row>
    <row r="661" ht="15.75" customHeight="1">
      <c r="A661" s="187"/>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row>
    <row r="662" ht="15.75" customHeight="1">
      <c r="A662" s="187"/>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row>
    <row r="663" ht="15.75" customHeight="1">
      <c r="A663" s="187"/>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row>
    <row r="664" ht="15.75" customHeight="1">
      <c r="A664" s="187"/>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row>
    <row r="665" ht="15.75" customHeight="1">
      <c r="A665" s="187"/>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row>
    <row r="666" ht="15.75" customHeight="1">
      <c r="A666" s="187"/>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row>
    <row r="667" ht="15.75" customHeight="1">
      <c r="A667" s="187"/>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row>
    <row r="668" ht="15.75" customHeight="1">
      <c r="A668" s="187"/>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row>
    <row r="669" ht="15.75" customHeight="1">
      <c r="A669" s="187"/>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row>
    <row r="670" ht="15.75" customHeight="1">
      <c r="A670" s="187"/>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row>
    <row r="671" ht="15.75" customHeight="1">
      <c r="A671" s="187"/>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row>
    <row r="672" ht="15.75" customHeight="1">
      <c r="A672" s="187"/>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row>
    <row r="673" ht="15.75" customHeight="1">
      <c r="A673" s="187"/>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row>
    <row r="674" ht="15.75" customHeight="1">
      <c r="A674" s="187"/>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row>
    <row r="675" ht="15.75" customHeight="1">
      <c r="A675" s="187"/>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row>
    <row r="676" ht="15.75" customHeight="1">
      <c r="A676" s="187"/>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row>
    <row r="677" ht="15.75" customHeight="1">
      <c r="A677" s="187"/>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row>
    <row r="678" ht="15.75" customHeight="1">
      <c r="A678" s="187"/>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row>
    <row r="679" ht="15.75" customHeight="1">
      <c r="A679" s="187"/>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row>
    <row r="680" ht="15.75" customHeight="1">
      <c r="A680" s="187"/>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row>
    <row r="681" ht="15.75" customHeight="1">
      <c r="A681" s="187"/>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row>
    <row r="682" ht="15.75" customHeight="1">
      <c r="A682" s="187"/>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row>
    <row r="683" ht="15.75" customHeight="1">
      <c r="A683" s="187"/>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row>
    <row r="684" ht="15.75" customHeight="1">
      <c r="A684" s="187"/>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row>
    <row r="685" ht="15.75" customHeight="1">
      <c r="A685" s="187"/>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row>
    <row r="686" ht="15.75" customHeight="1">
      <c r="A686" s="187"/>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row>
    <row r="687" ht="15.75" customHeight="1">
      <c r="A687" s="187"/>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row>
    <row r="688" ht="15.75" customHeight="1">
      <c r="A688" s="187"/>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row>
    <row r="689" ht="15.75" customHeight="1">
      <c r="A689" s="187"/>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row>
    <row r="690" ht="15.75" customHeight="1">
      <c r="A690" s="187"/>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row>
    <row r="691" ht="15.75" customHeight="1">
      <c r="A691" s="187"/>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row>
    <row r="692" ht="15.75" customHeight="1">
      <c r="A692" s="187"/>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row>
    <row r="693" ht="15.75" customHeight="1">
      <c r="A693" s="187"/>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row>
    <row r="694" ht="15.75" customHeight="1">
      <c r="A694" s="187"/>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row>
    <row r="695" ht="15.75" customHeight="1">
      <c r="A695" s="187"/>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row>
    <row r="696" ht="15.75" customHeight="1">
      <c r="A696" s="187"/>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row>
    <row r="697" ht="15.75" customHeight="1">
      <c r="A697" s="187"/>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row>
    <row r="698" ht="15.75" customHeight="1">
      <c r="A698" s="187"/>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row>
    <row r="699" ht="15.75" customHeight="1">
      <c r="A699" s="187"/>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row>
    <row r="700" ht="15.75" customHeight="1">
      <c r="A700" s="187"/>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row>
    <row r="701" ht="15.75" customHeight="1">
      <c r="A701" s="187"/>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row>
    <row r="702" ht="15.75" customHeight="1">
      <c r="A702" s="187"/>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row>
    <row r="703" ht="15.75" customHeight="1">
      <c r="A703" s="187"/>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row>
    <row r="704" ht="15.75" customHeight="1">
      <c r="A704" s="187"/>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row>
    <row r="705" ht="15.75" customHeight="1">
      <c r="A705" s="187"/>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row>
    <row r="706" ht="15.75" customHeight="1">
      <c r="A706" s="187"/>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row>
    <row r="707" ht="15.75" customHeight="1">
      <c r="A707" s="187"/>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row>
    <row r="708" ht="15.75" customHeight="1">
      <c r="A708" s="187"/>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row>
    <row r="709" ht="15.75" customHeight="1">
      <c r="A709" s="187"/>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row>
    <row r="710" ht="15.75" customHeight="1">
      <c r="A710" s="187"/>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row>
    <row r="711" ht="15.75" customHeight="1">
      <c r="A711" s="187"/>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row>
    <row r="712" ht="15.75" customHeight="1">
      <c r="A712" s="187"/>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row>
    <row r="713" ht="15.75" customHeight="1">
      <c r="A713" s="187"/>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row>
    <row r="714" ht="15.75" customHeight="1">
      <c r="A714" s="187"/>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row>
    <row r="715" ht="15.75" customHeight="1">
      <c r="A715" s="187"/>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row>
    <row r="716" ht="15.75" customHeight="1">
      <c r="A716" s="187"/>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row>
    <row r="717" ht="15.75" customHeight="1">
      <c r="A717" s="187"/>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row>
    <row r="718" ht="15.75" customHeight="1">
      <c r="A718" s="187"/>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row>
    <row r="719" ht="15.75" customHeight="1">
      <c r="A719" s="187"/>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row>
    <row r="720" ht="15.75" customHeight="1">
      <c r="A720" s="187"/>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row>
    <row r="721" ht="15.75" customHeight="1">
      <c r="A721" s="187"/>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row>
    <row r="722" ht="15.75" customHeight="1">
      <c r="A722" s="187"/>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row>
    <row r="723" ht="15.75" customHeight="1">
      <c r="A723" s="187"/>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row>
    <row r="724" ht="15.75" customHeight="1">
      <c r="A724" s="187"/>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row>
    <row r="725" ht="15.75" customHeight="1">
      <c r="A725" s="187"/>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row>
    <row r="726" ht="15.75" customHeight="1">
      <c r="A726" s="187"/>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row>
    <row r="727" ht="15.75" customHeight="1">
      <c r="A727" s="187"/>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row>
    <row r="728" ht="15.75" customHeight="1">
      <c r="A728" s="187"/>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row>
    <row r="729" ht="15.75" customHeight="1">
      <c r="A729" s="187"/>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row>
    <row r="730" ht="15.75" customHeight="1">
      <c r="A730" s="187"/>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row>
    <row r="731" ht="15.75" customHeight="1">
      <c r="A731" s="187"/>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row>
    <row r="732" ht="15.75" customHeight="1">
      <c r="A732" s="187"/>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row>
    <row r="733" ht="15.75" customHeight="1">
      <c r="A733" s="187"/>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row>
    <row r="734" ht="15.75" customHeight="1">
      <c r="A734" s="187"/>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row>
    <row r="735" ht="15.75" customHeight="1">
      <c r="A735" s="187"/>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row>
    <row r="736" ht="15.75" customHeight="1">
      <c r="A736" s="187"/>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row>
    <row r="737" ht="15.75" customHeight="1">
      <c r="A737" s="187"/>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row>
    <row r="738" ht="15.75" customHeight="1">
      <c r="A738" s="187"/>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row>
    <row r="739" ht="15.75" customHeight="1">
      <c r="A739" s="187"/>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row>
    <row r="740" ht="15.75" customHeight="1">
      <c r="A740" s="187"/>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row>
    <row r="741" ht="15.75" customHeight="1">
      <c r="A741" s="187"/>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row>
    <row r="742" ht="15.75" customHeight="1">
      <c r="A742" s="187"/>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row>
    <row r="743" ht="15.75" customHeight="1">
      <c r="A743" s="187"/>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row>
    <row r="744" ht="15.75" customHeight="1">
      <c r="A744" s="187"/>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row>
    <row r="745" ht="15.75" customHeight="1">
      <c r="A745" s="187"/>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row>
    <row r="746" ht="15.75" customHeight="1">
      <c r="A746" s="187"/>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row>
    <row r="747" ht="15.75" customHeight="1">
      <c r="A747" s="187"/>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row>
    <row r="748" ht="15.75" customHeight="1">
      <c r="A748" s="187"/>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row>
    <row r="749" ht="15.75" customHeight="1">
      <c r="A749" s="187"/>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row>
    <row r="750" ht="15.75" customHeight="1">
      <c r="A750" s="187"/>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row>
    <row r="751" ht="15.75" customHeight="1">
      <c r="A751" s="187"/>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row>
    <row r="752" ht="15.75" customHeight="1">
      <c r="A752" s="187"/>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row>
    <row r="753" ht="15.75" customHeight="1">
      <c r="A753" s="187"/>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row>
    <row r="754" ht="15.75" customHeight="1">
      <c r="A754" s="187"/>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row>
    <row r="755" ht="15.75" customHeight="1">
      <c r="A755" s="187"/>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row>
    <row r="756" ht="15.75" customHeight="1">
      <c r="A756" s="187"/>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row>
    <row r="757" ht="15.75" customHeight="1">
      <c r="A757" s="187"/>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row>
    <row r="758" ht="15.75" customHeight="1">
      <c r="A758" s="187"/>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row>
    <row r="759" ht="15.75" customHeight="1">
      <c r="A759" s="187"/>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row>
    <row r="760" ht="15.75" customHeight="1">
      <c r="A760" s="187"/>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row>
    <row r="761" ht="15.75" customHeight="1">
      <c r="A761" s="187"/>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row>
    <row r="762" ht="15.75" customHeight="1">
      <c r="A762" s="187"/>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row>
    <row r="763" ht="15.75" customHeight="1">
      <c r="A763" s="187"/>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row>
    <row r="764" ht="15.75" customHeight="1">
      <c r="A764" s="187"/>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row>
    <row r="765" ht="15.75" customHeight="1">
      <c r="A765" s="187"/>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row>
    <row r="766" ht="15.75" customHeight="1">
      <c r="A766" s="187"/>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row>
    <row r="767" ht="15.75" customHeight="1">
      <c r="A767" s="187"/>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row>
    <row r="768" ht="15.75" customHeight="1">
      <c r="A768" s="187"/>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row>
    <row r="769" ht="15.75" customHeight="1">
      <c r="A769" s="187"/>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row>
    <row r="770" ht="15.75" customHeight="1">
      <c r="A770" s="187"/>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row>
    <row r="771" ht="15.75" customHeight="1">
      <c r="A771" s="187"/>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row>
    <row r="772" ht="15.75" customHeight="1">
      <c r="A772" s="187"/>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row>
    <row r="773" ht="15.75" customHeight="1">
      <c r="A773" s="187"/>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row>
    <row r="774" ht="15.75" customHeight="1">
      <c r="A774" s="187"/>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row>
    <row r="775" ht="15.75" customHeight="1">
      <c r="A775" s="187"/>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row>
    <row r="776" ht="15.75" customHeight="1">
      <c r="A776" s="187"/>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row>
    <row r="777" ht="15.75" customHeight="1">
      <c r="A777" s="187"/>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row>
    <row r="778" ht="15.75" customHeight="1">
      <c r="A778" s="187"/>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row>
    <row r="779" ht="15.75" customHeight="1">
      <c r="A779" s="187"/>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row>
    <row r="780" ht="15.75" customHeight="1">
      <c r="A780" s="187"/>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row>
    <row r="781" ht="15.75" customHeight="1">
      <c r="A781" s="187"/>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row>
    <row r="782" ht="15.75" customHeight="1">
      <c r="A782" s="187"/>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row>
    <row r="783" ht="15.75" customHeight="1">
      <c r="A783" s="187"/>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row>
    <row r="784" ht="15.75" customHeight="1">
      <c r="A784" s="187"/>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row>
    <row r="785" ht="15.75" customHeight="1">
      <c r="A785" s="187"/>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row>
    <row r="786" ht="15.75" customHeight="1">
      <c r="A786" s="187"/>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row>
    <row r="787" ht="15.75" customHeight="1">
      <c r="A787" s="187"/>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row>
    <row r="788" ht="15.75" customHeight="1">
      <c r="A788" s="187"/>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row>
    <row r="789" ht="15.75" customHeight="1">
      <c r="A789" s="187"/>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row>
    <row r="790" ht="15.75" customHeight="1">
      <c r="A790" s="187"/>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row>
    <row r="791" ht="15.75" customHeight="1">
      <c r="A791" s="187"/>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row>
    <row r="792" ht="15.75" customHeight="1">
      <c r="A792" s="187"/>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row>
    <row r="793" ht="15.75" customHeight="1">
      <c r="A793" s="187"/>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row>
    <row r="794" ht="15.75" customHeight="1">
      <c r="A794" s="187"/>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row>
    <row r="795" ht="15.75" customHeight="1">
      <c r="A795" s="187"/>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row>
    <row r="796" ht="15.75" customHeight="1">
      <c r="A796" s="187"/>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row>
    <row r="797" ht="15.75" customHeight="1">
      <c r="A797" s="187"/>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row>
    <row r="798" ht="15.75" customHeight="1">
      <c r="A798" s="187"/>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row>
    <row r="799" ht="15.75" customHeight="1">
      <c r="A799" s="187"/>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row>
    <row r="800" ht="15.75" customHeight="1">
      <c r="A800" s="187"/>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row>
    <row r="801" ht="15.75" customHeight="1">
      <c r="A801" s="187"/>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row>
    <row r="802" ht="15.75" customHeight="1">
      <c r="A802" s="187"/>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row>
    <row r="803" ht="15.75" customHeight="1">
      <c r="A803" s="187"/>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row>
    <row r="804" ht="15.75" customHeight="1">
      <c r="A804" s="187"/>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row>
    <row r="805" ht="15.75" customHeight="1">
      <c r="A805" s="187"/>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row>
    <row r="806" ht="15.75" customHeight="1">
      <c r="A806" s="187"/>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row>
    <row r="807" ht="15.75" customHeight="1">
      <c r="A807" s="187"/>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row>
    <row r="808" ht="15.75" customHeight="1">
      <c r="A808" s="187"/>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row>
    <row r="809" ht="15.75" customHeight="1">
      <c r="A809" s="187"/>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row>
    <row r="810" ht="15.75" customHeight="1">
      <c r="A810" s="187"/>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row>
    <row r="811" ht="15.75" customHeight="1">
      <c r="A811" s="187"/>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row>
    <row r="812" ht="15.75" customHeight="1">
      <c r="A812" s="187"/>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row>
    <row r="813" ht="15.75" customHeight="1">
      <c r="A813" s="187"/>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row>
    <row r="814" ht="15.75" customHeight="1">
      <c r="A814" s="187"/>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row>
    <row r="815" ht="15.75" customHeight="1">
      <c r="A815" s="187"/>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row>
    <row r="816" ht="15.75" customHeight="1">
      <c r="A816" s="187"/>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row>
    <row r="817" ht="15.75" customHeight="1">
      <c r="A817" s="187"/>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row>
    <row r="818" ht="15.75" customHeight="1">
      <c r="A818" s="187"/>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row>
    <row r="819" ht="15.75" customHeight="1">
      <c r="A819" s="187"/>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row>
    <row r="820" ht="15.75" customHeight="1">
      <c r="A820" s="187"/>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row>
    <row r="821" ht="15.75" customHeight="1">
      <c r="A821" s="187"/>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row>
    <row r="822" ht="15.75" customHeight="1">
      <c r="A822" s="187"/>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row>
    <row r="823" ht="15.75" customHeight="1">
      <c r="A823" s="187"/>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row>
    <row r="824" ht="15.75" customHeight="1">
      <c r="A824" s="187"/>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row>
    <row r="825" ht="15.75" customHeight="1">
      <c r="A825" s="187"/>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row>
    <row r="826" ht="15.75" customHeight="1">
      <c r="A826" s="187"/>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row>
    <row r="827" ht="15.75" customHeight="1">
      <c r="A827" s="187"/>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row>
    <row r="828" ht="15.75" customHeight="1">
      <c r="A828" s="187"/>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row>
    <row r="829" ht="15.75" customHeight="1">
      <c r="A829" s="187"/>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row>
    <row r="830" ht="15.75" customHeight="1">
      <c r="A830" s="187"/>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row>
    <row r="831" ht="15.75" customHeight="1">
      <c r="A831" s="187"/>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row>
    <row r="832" ht="15.75" customHeight="1">
      <c r="A832" s="187"/>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row>
    <row r="833" ht="15.75" customHeight="1">
      <c r="A833" s="187"/>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row>
    <row r="834" ht="15.75" customHeight="1">
      <c r="A834" s="187"/>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row>
    <row r="835" ht="15.75" customHeight="1">
      <c r="A835" s="187"/>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row>
    <row r="836" ht="15.75" customHeight="1">
      <c r="A836" s="187"/>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row>
    <row r="837" ht="15.75" customHeight="1">
      <c r="A837" s="187"/>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row>
    <row r="838" ht="15.75" customHeight="1">
      <c r="A838" s="187"/>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row>
    <row r="839" ht="15.75" customHeight="1">
      <c r="A839" s="187"/>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row>
    <row r="840" ht="15.75" customHeight="1">
      <c r="A840" s="187"/>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row>
    <row r="841" ht="15.75" customHeight="1">
      <c r="A841" s="187"/>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row>
    <row r="842" ht="15.75" customHeight="1">
      <c r="A842" s="187"/>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row>
    <row r="843" ht="15.75" customHeight="1">
      <c r="A843" s="187"/>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row>
    <row r="844" ht="15.75" customHeight="1">
      <c r="A844" s="187"/>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row>
    <row r="845" ht="15.75" customHeight="1">
      <c r="A845" s="187"/>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row>
    <row r="846" ht="15.75" customHeight="1">
      <c r="A846" s="187"/>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row>
    <row r="847" ht="15.75" customHeight="1">
      <c r="A847" s="187"/>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row>
    <row r="848" ht="15.75" customHeight="1">
      <c r="A848" s="187"/>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row>
    <row r="849" ht="15.75" customHeight="1">
      <c r="A849" s="187"/>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row>
    <row r="850" ht="15.75" customHeight="1">
      <c r="A850" s="187"/>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row>
    <row r="851" ht="15.75" customHeight="1">
      <c r="A851" s="187"/>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row>
    <row r="852" ht="15.75" customHeight="1">
      <c r="A852" s="187"/>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row>
    <row r="853" ht="15.75" customHeight="1">
      <c r="A853" s="187"/>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row>
    <row r="854" ht="15.75" customHeight="1">
      <c r="A854" s="187"/>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row>
    <row r="855" ht="15.75" customHeight="1">
      <c r="A855" s="187"/>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row>
    <row r="856" ht="15.75" customHeight="1">
      <c r="A856" s="187"/>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row>
    <row r="857" ht="15.75" customHeight="1">
      <c r="A857" s="187"/>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row>
    <row r="858" ht="15.75" customHeight="1">
      <c r="A858" s="187"/>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row>
    <row r="859" ht="15.75" customHeight="1">
      <c r="A859" s="187"/>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row>
    <row r="860" ht="15.75" customHeight="1">
      <c r="A860" s="187"/>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row>
    <row r="861" ht="15.75" customHeight="1">
      <c r="A861" s="187"/>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row>
    <row r="862" ht="15.75" customHeight="1">
      <c r="A862" s="187"/>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row>
    <row r="863" ht="15.75" customHeight="1">
      <c r="A863" s="187"/>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row>
    <row r="864" ht="15.75" customHeight="1">
      <c r="A864" s="187"/>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row>
    <row r="865" ht="15.75" customHeight="1">
      <c r="A865" s="187"/>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row>
    <row r="866" ht="15.75" customHeight="1">
      <c r="A866" s="187"/>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row>
    <row r="867" ht="15.75" customHeight="1">
      <c r="A867" s="187"/>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row>
    <row r="868" ht="15.75" customHeight="1">
      <c r="A868" s="187"/>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row>
    <row r="869" ht="15.75" customHeight="1">
      <c r="A869" s="187"/>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row>
    <row r="870" ht="15.75" customHeight="1">
      <c r="A870" s="187"/>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row>
    <row r="871" ht="15.75" customHeight="1">
      <c r="A871" s="187"/>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row>
    <row r="872" ht="15.75" customHeight="1">
      <c r="A872" s="187"/>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row>
    <row r="873" ht="15.75" customHeight="1">
      <c r="A873" s="187"/>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row>
    <row r="874" ht="15.75" customHeight="1">
      <c r="A874" s="187"/>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row>
    <row r="875" ht="15.75" customHeight="1">
      <c r="A875" s="187"/>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row>
    <row r="876" ht="15.75" customHeight="1">
      <c r="A876" s="187"/>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row>
    <row r="877" ht="15.75" customHeight="1">
      <c r="A877" s="187"/>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row>
    <row r="878" ht="15.75" customHeight="1">
      <c r="A878" s="187"/>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row>
    <row r="879" ht="15.75" customHeight="1">
      <c r="A879" s="187"/>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row>
    <row r="880" ht="15.75" customHeight="1">
      <c r="A880" s="187"/>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row>
    <row r="881" ht="15.75" customHeight="1">
      <c r="A881" s="187"/>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row>
    <row r="882" ht="15.75" customHeight="1">
      <c r="A882" s="187"/>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row>
    <row r="883" ht="15.75" customHeight="1">
      <c r="A883" s="187"/>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row>
    <row r="884" ht="15.75" customHeight="1">
      <c r="A884" s="187"/>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row>
    <row r="885" ht="15.75" customHeight="1">
      <c r="A885" s="187"/>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row>
    <row r="886" ht="15.75" customHeight="1">
      <c r="A886" s="187"/>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row>
    <row r="887" ht="15.75" customHeight="1">
      <c r="A887" s="187"/>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row>
    <row r="888" ht="15.75" customHeight="1">
      <c r="A888" s="187"/>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row>
    <row r="889" ht="15.75" customHeight="1">
      <c r="A889" s="187"/>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row>
    <row r="890" ht="15.75" customHeight="1">
      <c r="A890" s="187"/>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row>
    <row r="891" ht="15.75" customHeight="1">
      <c r="A891" s="187"/>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row>
    <row r="892" ht="15.75" customHeight="1">
      <c r="A892" s="187"/>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row>
    <row r="893" ht="15.75" customHeight="1">
      <c r="A893" s="187"/>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row>
    <row r="894" ht="15.75" customHeight="1">
      <c r="A894" s="187"/>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row>
    <row r="895" ht="15.75" customHeight="1">
      <c r="A895" s="187"/>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row>
    <row r="896" ht="15.75" customHeight="1">
      <c r="A896" s="187"/>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row>
    <row r="897" ht="15.75" customHeight="1">
      <c r="A897" s="187"/>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row>
    <row r="898" ht="15.75" customHeight="1">
      <c r="A898" s="187"/>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row>
    <row r="899" ht="15.75" customHeight="1">
      <c r="A899" s="187"/>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row>
    <row r="900" ht="15.75" customHeight="1">
      <c r="A900" s="187"/>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row>
    <row r="901" ht="15.75" customHeight="1">
      <c r="A901" s="187"/>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row>
    <row r="902" ht="15.75" customHeight="1">
      <c r="A902" s="187"/>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row>
    <row r="903" ht="15.75" customHeight="1">
      <c r="A903" s="187"/>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row>
    <row r="904" ht="15.75" customHeight="1">
      <c r="A904" s="187"/>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row>
    <row r="905" ht="15.75" customHeight="1">
      <c r="A905" s="187"/>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row>
    <row r="906" ht="15.75" customHeight="1">
      <c r="A906" s="187"/>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row>
    <row r="907" ht="15.75" customHeight="1">
      <c r="A907" s="187"/>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row>
    <row r="908" ht="15.75" customHeight="1">
      <c r="A908" s="187"/>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row>
    <row r="909" ht="15.75" customHeight="1">
      <c r="A909" s="187"/>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row>
    <row r="910" ht="15.75" customHeight="1">
      <c r="A910" s="187"/>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row>
    <row r="911" ht="15.75" customHeight="1">
      <c r="A911" s="187"/>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row>
    <row r="912" ht="15.75" customHeight="1">
      <c r="A912" s="187"/>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row>
    <row r="913" ht="15.75" customHeight="1">
      <c r="A913" s="187"/>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row>
    <row r="914" ht="15.75" customHeight="1">
      <c r="A914" s="187"/>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row>
    <row r="915" ht="15.75" customHeight="1">
      <c r="A915" s="187"/>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row>
    <row r="916" ht="15.75" customHeight="1">
      <c r="A916" s="187"/>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row>
    <row r="917" ht="15.75" customHeight="1">
      <c r="A917" s="187"/>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row>
    <row r="918" ht="15.75" customHeight="1">
      <c r="A918" s="187"/>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row>
    <row r="919" ht="15.75" customHeight="1">
      <c r="A919" s="187"/>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row>
    <row r="920" ht="15.75" customHeight="1">
      <c r="A920" s="187"/>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row>
    <row r="921" ht="15.75" customHeight="1">
      <c r="A921" s="187"/>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row>
    <row r="922" ht="15.75" customHeight="1">
      <c r="A922" s="187"/>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row>
    <row r="923" ht="15.75" customHeight="1">
      <c r="A923" s="187"/>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row>
    <row r="924" ht="15.75" customHeight="1">
      <c r="A924" s="187"/>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row>
    <row r="925" ht="15.75" customHeight="1">
      <c r="A925" s="187"/>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row>
    <row r="926" ht="15.75" customHeight="1">
      <c r="A926" s="187"/>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row>
    <row r="927" ht="15.75" customHeight="1">
      <c r="A927" s="187"/>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row>
    <row r="928" ht="15.75" customHeight="1">
      <c r="A928" s="187"/>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row>
    <row r="929" ht="15.75" customHeight="1">
      <c r="A929" s="187"/>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row>
    <row r="930" ht="15.75" customHeight="1">
      <c r="A930" s="187"/>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row>
    <row r="931" ht="15.75" customHeight="1">
      <c r="A931" s="187"/>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row>
    <row r="932" ht="15.75" customHeight="1">
      <c r="A932" s="187"/>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row>
    <row r="933" ht="15.75" customHeight="1">
      <c r="A933" s="187"/>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row>
    <row r="934" ht="15.75" customHeight="1">
      <c r="A934" s="187"/>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row>
    <row r="935" ht="15.75" customHeight="1">
      <c r="A935" s="187"/>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row>
    <row r="936" ht="15.75" customHeight="1">
      <c r="A936" s="187"/>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row>
    <row r="937" ht="15.75" customHeight="1">
      <c r="A937" s="187"/>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row>
    <row r="938" ht="15.75" customHeight="1">
      <c r="A938" s="187"/>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row>
    <row r="939" ht="15.75" customHeight="1">
      <c r="A939" s="187"/>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row>
    <row r="940" ht="15.75" customHeight="1">
      <c r="A940" s="187"/>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row>
    <row r="941" ht="15.75" customHeight="1">
      <c r="A941" s="187"/>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row>
    <row r="942" ht="15.75" customHeight="1">
      <c r="A942" s="187"/>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row>
    <row r="943" ht="15.75" customHeight="1">
      <c r="A943" s="187"/>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row>
    <row r="944" ht="15.75" customHeight="1">
      <c r="A944" s="187"/>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row>
    <row r="945" ht="15.75" customHeight="1">
      <c r="A945" s="187"/>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row>
    <row r="946" ht="15.75" customHeight="1">
      <c r="A946" s="187"/>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row>
    <row r="947" ht="15.75" customHeight="1">
      <c r="A947" s="187"/>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row>
    <row r="948" ht="15.75" customHeight="1">
      <c r="A948" s="187"/>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row>
    <row r="949" ht="15.75" customHeight="1">
      <c r="A949" s="187"/>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row>
    <row r="950" ht="15.75" customHeight="1">
      <c r="A950" s="187"/>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row>
    <row r="951" ht="15.75" customHeight="1">
      <c r="A951" s="187"/>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row>
    <row r="952" ht="15.75" customHeight="1">
      <c r="A952" s="187"/>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row>
    <row r="953" ht="15.75" customHeight="1">
      <c r="A953" s="187"/>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row>
    <row r="954" ht="15.75" customHeight="1">
      <c r="A954" s="187"/>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row>
    <row r="955" ht="15.75" customHeight="1">
      <c r="A955" s="187"/>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row>
    <row r="956" ht="15.75" customHeight="1">
      <c r="A956" s="187"/>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row>
    <row r="957" ht="15.75" customHeight="1">
      <c r="A957" s="187"/>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row>
    <row r="958" ht="15.75" customHeight="1">
      <c r="A958" s="187"/>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row>
    <row r="959" ht="15.75" customHeight="1">
      <c r="A959" s="187"/>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row>
    <row r="960" ht="15.75" customHeight="1">
      <c r="A960" s="187"/>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row>
    <row r="961" ht="15.75" customHeight="1">
      <c r="A961" s="187"/>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row>
    <row r="962" ht="15.75" customHeight="1">
      <c r="A962" s="187"/>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row>
    <row r="963" ht="15.75" customHeight="1">
      <c r="A963" s="187"/>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row>
    <row r="964" ht="15.75" customHeight="1">
      <c r="A964" s="187"/>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row>
    <row r="965" ht="15.75" customHeight="1">
      <c r="A965" s="187"/>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row>
    <row r="966" ht="15.75" customHeight="1">
      <c r="A966" s="187"/>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row>
    <row r="967" ht="15.75" customHeight="1">
      <c r="A967" s="187"/>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row>
    <row r="968" ht="15.75" customHeight="1">
      <c r="A968" s="187"/>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row>
    <row r="969" ht="15.75" customHeight="1">
      <c r="A969" s="187"/>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row>
    <row r="970" ht="15.75" customHeight="1">
      <c r="A970" s="187"/>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row>
    <row r="971" ht="15.75" customHeight="1">
      <c r="A971" s="187"/>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row>
    <row r="972" ht="15.75" customHeight="1">
      <c r="A972" s="187"/>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row>
    <row r="973" ht="15.75" customHeight="1">
      <c r="A973" s="187"/>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row>
    <row r="974" ht="15.75" customHeight="1">
      <c r="A974" s="187"/>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row>
    <row r="975" ht="15.75" customHeight="1">
      <c r="A975" s="187"/>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row>
    <row r="976" ht="15.75" customHeight="1">
      <c r="A976" s="187"/>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row>
    <row r="977" ht="15.75" customHeight="1">
      <c r="A977" s="187"/>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row>
    <row r="978" ht="15.75" customHeight="1">
      <c r="A978" s="187"/>
      <c r="B978" s="187"/>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row>
    <row r="979" ht="15.75" customHeight="1">
      <c r="A979" s="187"/>
      <c r="B979" s="187"/>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row>
    <row r="980" ht="15.75" customHeight="1">
      <c r="A980" s="187"/>
      <c r="B980" s="187"/>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row>
    <row r="981" ht="15.75" customHeight="1">
      <c r="A981" s="187"/>
      <c r="B981" s="187"/>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row>
    <row r="982" ht="15.75" customHeight="1">
      <c r="A982" s="187"/>
      <c r="B982" s="187"/>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row>
    <row r="983" ht="15.75" customHeight="1">
      <c r="A983" s="187"/>
      <c r="B983" s="187"/>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row>
    <row r="984" ht="15.75" customHeight="1">
      <c r="A984" s="187"/>
      <c r="B984" s="187"/>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row>
    <row r="985" ht="15.75" customHeight="1">
      <c r="A985" s="187"/>
      <c r="B985" s="187"/>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row>
    <row r="986" ht="15.75" customHeight="1">
      <c r="A986" s="187"/>
      <c r="B986" s="187"/>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row>
    <row r="987" ht="15.75" customHeight="1">
      <c r="A987" s="187"/>
      <c r="B987" s="187"/>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row>
    <row r="988" ht="15.75" customHeight="1">
      <c r="A988" s="187"/>
      <c r="B988" s="187"/>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row>
    <row r="989" ht="15.75" customHeight="1">
      <c r="A989" s="187"/>
      <c r="B989" s="187"/>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row>
    <row r="990" ht="15.75" customHeight="1">
      <c r="A990" s="187"/>
      <c r="B990" s="187"/>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row>
    <row r="991" ht="15.75" customHeight="1">
      <c r="A991" s="187"/>
      <c r="B991" s="187"/>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row>
    <row r="992" ht="15.75" customHeight="1">
      <c r="A992" s="187"/>
      <c r="B992" s="187"/>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row>
    <row r="993" ht="15.75" customHeight="1">
      <c r="A993" s="187"/>
      <c r="B993" s="187"/>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row>
    <row r="994" ht="15.75" customHeight="1">
      <c r="A994" s="187"/>
      <c r="B994" s="187"/>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row>
    <row r="995" ht="15.75" customHeight="1">
      <c r="A995" s="187"/>
      <c r="B995" s="187"/>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row>
    <row r="996" ht="15.75" customHeight="1">
      <c r="A996" s="187"/>
      <c r="B996" s="187"/>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row>
    <row r="997" ht="15.75" customHeight="1">
      <c r="A997" s="187"/>
      <c r="B997" s="187"/>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row>
    <row r="998" ht="15.75" customHeight="1">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row>
    <row r="999" ht="15.75" customHeight="1">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row>
    <row r="1000" ht="15.75" customHeight="1">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row>
  </sheetData>
  <printOptions/>
  <pageMargins bottom="0.75" footer="0.0" header="0.0" left="0.7" right="0.7" top="0.75"/>
  <pageSetup orientation="portrait"/>
  <drawing r:id="rId1"/>
</worksheet>
</file>