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Actuals and Forecasts" sheetId="2" r:id="rId6"/>
    <sheet state="visible" name="🌀 Learn more about Coefficient" sheetId="3" r:id="rId7"/>
  </sheets>
  <definedNames>
    <definedName name="coeff_made_copy">'🌀 Learn more about Coefficient'!$H$15</definedName>
    <definedName name="coeff_ok_check">'🌀 Learn more about Coefficient'!$B$15</definedName>
    <definedName name="coeff_importrange_check">'🌀 Learn more about Coefficient'!$C$15</definedName>
    <definedName name="coeff_addon_launched">'🌀 Learn more about Coefficient'!$E$15</definedName>
  </definedNames>
  <calcPr/>
</workbook>
</file>

<file path=xl/sharedStrings.xml><?xml version="1.0" encoding="utf-8"?>
<sst xmlns="http://schemas.openxmlformats.org/spreadsheetml/2006/main" count="105" uniqueCount="58">
  <si>
    <t>Trailing Twelve Months (TTM) Actuals</t>
  </si>
  <si>
    <t>12-month Rolling Forecast</t>
  </si>
  <si>
    <t>Include here your categories, items and actual amounts for the past 12 months</t>
  </si>
  <si>
    <t>This table computes the rolling forecast for the next 12 months</t>
  </si>
  <si>
    <t>Categories</t>
  </si>
  <si>
    <t>Item</t>
  </si>
  <si>
    <t>➊</t>
  </si>
  <si>
    <t>Install the Coefficient extension</t>
  </si>
  <si>
    <t>➋</t>
  </si>
  <si>
    <t xml:space="preserve">Launch Coefficient </t>
  </si>
  <si>
    <t>➌</t>
  </si>
  <si>
    <t>Connect your data!</t>
  </si>
  <si>
    <t>👈</t>
  </si>
  <si>
    <r>
      <rPr>
        <rFont val="Proxima Nova"/>
        <color rgb="FF000000"/>
        <sz val="14.0"/>
      </rPr>
      <t>Click "</t>
    </r>
    <r>
      <rPr>
        <rFont val="Proxima Nova"/>
        <b/>
        <color rgb="FF000000"/>
        <sz val="14.0"/>
      </rPr>
      <t>Extensions</t>
    </r>
    <r>
      <rPr>
        <rFont val="Proxima Nova"/>
        <color rgb="FF000000"/>
        <sz val="14.0"/>
      </rPr>
      <t>" &gt; "</t>
    </r>
    <r>
      <rPr>
        <rFont val="Proxima Nova"/>
        <b/>
        <color rgb="FF000000"/>
        <sz val="14.0"/>
      </rPr>
      <t>Coefficient</t>
    </r>
    <r>
      <rPr>
        <rFont val="Proxima Nova"/>
        <color rgb="FF000000"/>
        <sz val="14.0"/>
      </rPr>
      <t>" &gt; "</t>
    </r>
    <r>
      <rPr>
        <rFont val="Proxima Nova"/>
        <b/>
        <color rgb="FF000000"/>
        <sz val="14.0"/>
      </rPr>
      <t>Launch</t>
    </r>
    <r>
      <rPr>
        <rFont val="Proxima Nova"/>
        <color rgb="FF000000"/>
        <sz val="14.0"/>
      </rPr>
      <t>"</t>
    </r>
  </si>
  <si>
    <r>
      <rPr>
        <rFont val="Proxima Nova"/>
        <color rgb="FF000000"/>
        <sz val="14.0"/>
      </rPr>
      <t xml:space="preserve">Click </t>
    </r>
    <r>
      <rPr>
        <rFont val="Proxima Nova"/>
        <b/>
        <color rgb="FF000000"/>
        <sz val="14.0"/>
      </rPr>
      <t>"Import from..."</t>
    </r>
    <r>
      <rPr>
        <rFont val="Proxima Nova"/>
        <color rgb="FF000000"/>
        <sz val="14.0"/>
      </rPr>
      <t xml:space="preserve"> then select the source you'd like to import data from. With a simple selector and prompts along the way, you'll pull your first data import in just 60 seconds.</t>
    </r>
  </si>
  <si>
    <r>
      <rPr>
        <rFont val="Proxima Nova"/>
        <color rgb="FF000000"/>
        <sz val="14.0"/>
      </rPr>
      <t xml:space="preserve">In the </t>
    </r>
    <r>
      <rPr>
        <rFont val="Proxima Nova"/>
        <b/>
        <color rgb="FF000000"/>
        <sz val="14.0"/>
      </rPr>
      <t>popup window</t>
    </r>
    <r>
      <rPr>
        <rFont val="Proxima Nova"/>
        <color rgb="FF000000"/>
        <sz val="14.0"/>
      </rPr>
      <t xml:space="preserve">, click the </t>
    </r>
    <r>
      <rPr>
        <rFont val="Proxima Nova"/>
        <b/>
        <color rgb="FF000000"/>
        <sz val="14.0"/>
      </rPr>
      <t>"INSTALL"</t>
    </r>
    <r>
      <rPr>
        <rFont val="Proxima Nova"/>
        <color rgb="FF000000"/>
        <sz val="14.0"/>
      </rPr>
      <t xml:space="preserve"> button 
Click </t>
    </r>
    <r>
      <rPr>
        <rFont val="Proxima Nova"/>
        <b/>
        <color rgb="FF000000"/>
        <sz val="14.0"/>
      </rPr>
      <t>“Continue”</t>
    </r>
    <r>
      <rPr>
        <rFont val="Proxima Nova"/>
        <color rgb="FF000000"/>
        <sz val="14.0"/>
      </rPr>
      <t xml:space="preserve"> to accept permissions</t>
    </r>
  </si>
  <si>
    <r>
      <rPr>
        <rFont val="Proxima Nova"/>
        <color rgb="FF000000"/>
        <sz val="13.0"/>
      </rPr>
      <t xml:space="preserve">🎥 </t>
    </r>
    <r>
      <rPr>
        <rFont val="Proxima Nova"/>
        <color rgb="FF1155CC"/>
        <sz val="13.0"/>
        <u/>
      </rPr>
      <t>See how it works</t>
    </r>
  </si>
  <si>
    <r>
      <rPr>
        <rFont val="Proxima Nova"/>
        <color rgb="FF515151"/>
        <sz val="13.0"/>
      </rPr>
      <t>⚠️</t>
    </r>
    <r>
      <rPr>
        <rFont val="Proxima Nova"/>
        <color rgb="FF000000"/>
        <sz val="13.0"/>
      </rPr>
      <t xml:space="preserve"> If you run into an error,</t>
    </r>
    <r>
      <rPr>
        <rFont val="Proxima Nova"/>
        <color rgb="FF515151"/>
        <sz val="13.0"/>
      </rPr>
      <t xml:space="preserve">  </t>
    </r>
    <r>
      <rPr>
        <rFont val="Proxima Nova"/>
        <color rgb="FF1155CC"/>
        <sz val="13.0"/>
        <u/>
      </rPr>
      <t>click here</t>
    </r>
  </si>
  <si>
    <t>Revenue</t>
  </si>
  <si>
    <t>Subscription Revenue</t>
  </si>
  <si>
    <t>Setup Fees</t>
  </si>
  <si>
    <t>Quickbooks Rolling Forecast Template</t>
  </si>
  <si>
    <t>Professional Services</t>
  </si>
  <si>
    <t>Partner Integrations</t>
  </si>
  <si>
    <t>Advertising Revenue</t>
  </si>
  <si>
    <t>Expenses</t>
  </si>
  <si>
    <t>Cloud Hosting</t>
  </si>
  <si>
    <t>Salaries and Wages</t>
  </si>
  <si>
    <t>Marketing and Sales</t>
  </si>
  <si>
    <t>Software Licenses</t>
  </si>
  <si>
    <t>Customer Support</t>
  </si>
  <si>
    <t>Capital Expenditures</t>
  </si>
  <si>
    <t>Platform Development</t>
  </si>
  <si>
    <t>IT Hardware</t>
  </si>
  <si>
    <t>QuickBooks 12-months Rolling Forecast</t>
  </si>
  <si>
    <r>
      <rPr>
        <rFont val="Proxima Nova"/>
        <i/>
        <color rgb="FFFFFFFF"/>
        <sz val="10.0"/>
      </rPr>
      <t xml:space="preserve">Input your categories, items and actual values for the trailing twelve months in the </t>
    </r>
    <r>
      <rPr>
        <rFont val="Proxima Nova"/>
        <b/>
        <i/>
        <color rgb="FFFFFFFF"/>
        <sz val="10.0"/>
        <u/>
      </rPr>
      <t>Actuals and Forecasts</t>
    </r>
    <r>
      <rPr>
        <rFont val="Proxima Nova"/>
        <i/>
        <color rgb="FFFFFFFF"/>
        <sz val="10.0"/>
      </rPr>
      <t xml:space="preserve"> tab. The 12-month rolling forecasts are computed based on a linear regression model.</t>
    </r>
  </si>
  <si>
    <t>Office Buildout</t>
  </si>
  <si>
    <t>Custom Integrations</t>
  </si>
  <si>
    <t>TTM Labels</t>
  </si>
  <si>
    <t>Business Intelligence</t>
  </si>
  <si>
    <t>RF Labels</t>
  </si>
  <si>
    <t>TTM Actuals</t>
  </si>
  <si>
    <t>Rolling Forecast</t>
  </si>
  <si>
    <t>$1.4M</t>
  </si>
  <si>
    <t>$1.5M</t>
  </si>
  <si>
    <t>$244.5k</t>
  </si>
  <si>
    <t>$248.4k</t>
  </si>
  <si>
    <t>$821.7k</t>
  </si>
  <si>
    <t>$838.4k</t>
  </si>
  <si>
    <t>$189.7k</t>
  </si>
  <si>
    <t>$199.2k</t>
  </si>
  <si>
    <t>$61.9k</t>
  </si>
  <si>
    <t>$64.2k</t>
  </si>
  <si>
    <t>$40.k</t>
  </si>
  <si>
    <t>$41.4k</t>
  </si>
  <si>
    <t>Category</t>
  </si>
  <si>
    <t>$ Increase (Decrease)</t>
  </si>
  <si>
    <t>% Increase (Decrease)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</si>
</sst>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mmm yyyy"/>
    <numFmt numFmtId="166" formatCode="yyyy&quot;-&quot;mm&quot;-&quot;dd&quot; &quot;hh&quot;:&quot;mm&quot;:&quot;ss"/>
    <numFmt numFmtId="167" formatCode="&quot;$&quot;#,##0;(&quot;$&quot;#,##0);-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Proxima Nova"/>
    </font>
    <font>
      <b/>
      <color rgb="FFFFFFFF"/>
      <name val="Arial"/>
      <scheme val="minor"/>
    </font>
    <font>
      <color rgb="FF666666"/>
      <name val="Proxima Nova"/>
    </font>
    <font>
      <b/>
      <sz val="24.0"/>
      <color rgb="FF000000"/>
      <name val="Proxima Nova"/>
    </font>
    <font>
      <b/>
      <sz val="28.0"/>
      <color rgb="FF000000"/>
      <name val="Proxima Nova"/>
    </font>
    <font>
      <sz val="36.0"/>
      <color rgb="FF3053FF"/>
      <name val="Proxima Nova"/>
    </font>
    <font>
      <b/>
      <sz val="18.0"/>
      <color rgb="FF3053FF"/>
      <name val="Proxima Nova"/>
    </font>
    <font>
      <sz val="50.0"/>
      <color theme="1"/>
      <name val="Proxima Nova"/>
    </font>
    <font>
      <sz val="24.0"/>
      <color theme="1"/>
      <name val="Proxima Nova"/>
    </font>
    <font>
      <sz val="14.0"/>
      <color rgb="FF000000"/>
      <name val="Proxima Nova"/>
    </font>
    <font>
      <i/>
      <sz val="12.0"/>
      <color rgb="FF515151"/>
      <name val="Proxima Nova"/>
    </font>
    <font>
      <color rgb="FF515151"/>
      <name val="Proxima Nova"/>
    </font>
    <font>
      <u/>
      <sz val="13.0"/>
      <color rgb="FF000000"/>
      <name val="Proxima Nova"/>
    </font>
    <font>
      <u/>
      <sz val="13.0"/>
      <color rgb="FF515151"/>
      <name val="Proxima Nova"/>
    </font>
    <font>
      <color rgb="FFFFFFFF"/>
      <name val="Proxima Nova"/>
    </font>
    <font>
      <sz val="9.0"/>
      <color rgb="FFFFFFFF"/>
      <name val="&quot;Google Sans Mono&quot;"/>
    </font>
    <font>
      <sz val="10.0"/>
      <color theme="1"/>
      <name val="Proxima Nova"/>
    </font>
    <font>
      <b/>
      <sz val="10.0"/>
      <color theme="1"/>
      <name val="Proxima Nova"/>
    </font>
    <font>
      <b/>
      <sz val="10.0"/>
      <color rgb="FFFFFFFF"/>
      <name val="Proxima Nova"/>
    </font>
    <font>
      <b/>
      <sz val="24.0"/>
      <color rgb="FFFFFFFF"/>
      <name val="Proxima Nova"/>
    </font>
    <font>
      <i/>
      <u/>
      <sz val="10.0"/>
      <color rgb="FFFFFFFF"/>
      <name val="Proxima Nova"/>
    </font>
    <font>
      <i/>
      <sz val="10.0"/>
      <color rgb="FFFFFFFF"/>
      <name val="Proxima Nova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5E6FD"/>
        <bgColor rgb="FFD5E6FD"/>
      </patternFill>
    </fill>
    <fill>
      <patternFill patternType="solid">
        <fgColor rgb="FF00892D"/>
        <bgColor rgb="FF00892D"/>
      </patternFill>
    </fill>
    <fill>
      <patternFill patternType="solid">
        <fgColor rgb="FFA6D3FD"/>
        <bgColor rgb="FFA6D3FD"/>
      </patternFill>
    </fill>
    <fill>
      <patternFill patternType="solid">
        <fgColor rgb="FFB45F06"/>
        <bgColor rgb="FFB45F0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27892D"/>
        <bgColor rgb="FF27892D"/>
      </patternFill>
    </fill>
  </fills>
  <borders count="18">
    <border/>
    <border>
      <left style="thin">
        <color rgb="FF000000"/>
      </left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2" numFmtId="164" xfId="0" applyFill="1" applyFont="1" applyNumberForma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0" fillId="3" fontId="5" numFmtId="0" xfId="0" applyFill="1" applyFont="1"/>
    <xf borderId="2" fillId="4" fontId="6" numFmtId="0" xfId="0" applyAlignment="1" applyBorder="1" applyFill="1" applyFont="1">
      <alignment readingOrder="0"/>
    </xf>
    <xf borderId="0" fillId="5" fontId="5" numFmtId="0" xfId="0" applyAlignment="1" applyFill="1" applyFont="1">
      <alignment horizontal="center"/>
    </xf>
    <xf borderId="3" fillId="4" fontId="6" numFmtId="14" xfId="0" applyBorder="1" applyFont="1" applyNumberFormat="1"/>
    <xf borderId="0" fillId="5" fontId="5" numFmtId="0" xfId="0" applyFont="1"/>
    <xf borderId="0" fillId="5" fontId="5" numFmtId="0" xfId="0" applyAlignment="1" applyFont="1">
      <alignment horizontal="right"/>
    </xf>
    <xf borderId="3" fillId="4" fontId="6" numFmtId="165" xfId="0" applyBorder="1" applyFont="1" applyNumberFormat="1"/>
    <xf borderId="0" fillId="5" fontId="7" numFmtId="0" xfId="0" applyAlignment="1" applyFont="1">
      <alignment horizontal="right" readingOrder="0" shrinkToFit="0" vertical="top" wrapText="1"/>
    </xf>
    <xf borderId="0" fillId="3" fontId="5" numFmtId="0" xfId="0" applyAlignment="1" applyFont="1">
      <alignment vertical="center"/>
    </xf>
    <xf borderId="0" fillId="5" fontId="8" numFmtId="0" xfId="0" applyAlignment="1" applyFont="1">
      <alignment horizontal="center" readingOrder="0" vertical="center"/>
    </xf>
    <xf borderId="0" fillId="5" fontId="9" numFmtId="0" xfId="0" applyAlignment="1" applyFont="1">
      <alignment readingOrder="0" vertical="center"/>
    </xf>
    <xf borderId="0" fillId="5" fontId="5" numFmtId="0" xfId="0" applyAlignment="1" applyFont="1">
      <alignment vertical="center"/>
    </xf>
    <xf borderId="0" fillId="5" fontId="5" numFmtId="0" xfId="0" applyAlignment="1" applyFont="1">
      <alignment horizontal="right" vertical="center"/>
    </xf>
    <xf borderId="4" fillId="4" fontId="6" numFmtId="165" xfId="0" applyBorder="1" applyFont="1" applyNumberFormat="1"/>
    <xf borderId="5" fillId="6" fontId="6" numFmtId="165" xfId="0" applyBorder="1" applyFill="1" applyFont="1" applyNumberFormat="1"/>
    <xf borderId="3" fillId="6" fontId="6" numFmtId="165" xfId="0" applyBorder="1" applyFont="1" applyNumberFormat="1"/>
    <xf borderId="0" fillId="0" fontId="5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4" fillId="6" fontId="6" numFmtId="165" xfId="0" applyBorder="1" applyFont="1" applyNumberFormat="1"/>
    <xf borderId="0" fillId="0" fontId="11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readingOrder="0" vertical="top"/>
    </xf>
    <xf borderId="0" fillId="0" fontId="14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vertical="center"/>
    </xf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vertical="center"/>
    </xf>
    <xf borderId="0" fillId="2" fontId="2" numFmtId="164" xfId="0" applyAlignment="1" applyFont="1" applyNumberFormat="1">
      <alignment readingOrder="0"/>
    </xf>
    <xf borderId="0" fillId="7" fontId="17" numFmtId="0" xfId="0" applyAlignment="1" applyFill="1" applyFont="1">
      <alignment horizontal="center" readingOrder="0" shrinkToFit="0" vertical="center" wrapText="1"/>
    </xf>
    <xf borderId="6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readingOrder="0"/>
    </xf>
    <xf borderId="0" fillId="7" fontId="18" numFmtId="0" xfId="0" applyAlignment="1" applyFont="1">
      <alignment horizontal="center" readingOrder="0" shrinkToFit="0" vertical="center" wrapText="1"/>
    </xf>
    <xf borderId="8" fillId="0" fontId="1" numFmtId="164" xfId="0" applyAlignment="1" applyBorder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horizontal="center"/>
    </xf>
    <xf borderId="9" fillId="8" fontId="1" numFmtId="164" xfId="0" applyAlignment="1" applyBorder="1" applyFill="1" applyFont="1" applyNumberFormat="1">
      <alignment readingOrder="0"/>
    </xf>
    <xf borderId="7" fillId="8" fontId="1" numFmtId="164" xfId="0" applyAlignment="1" applyBorder="1" applyFont="1" applyNumberFormat="1">
      <alignment readingOrder="0"/>
    </xf>
    <xf borderId="0" fillId="0" fontId="19" numFmtId="0" xfId="0" applyFont="1"/>
    <xf borderId="0" fillId="9" fontId="20" numFmtId="0" xfId="0" applyFill="1" applyFont="1"/>
    <xf borderId="8" fillId="8" fontId="1" numFmtId="164" xfId="0" applyAlignment="1" applyBorder="1" applyFont="1" applyNumberFormat="1">
      <alignment readingOrder="0"/>
    </xf>
    <xf borderId="0" fillId="0" fontId="19" numFmtId="166" xfId="0" applyFont="1" applyNumberFormat="1"/>
    <xf borderId="0" fillId="0" fontId="19" numFmtId="0" xfId="0" applyAlignment="1" applyFont="1">
      <alignment readingOrder="0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left" vertical="center"/>
    </xf>
    <xf borderId="0" fillId="0" fontId="22" numFmtId="0" xfId="0" applyAlignment="1" applyFont="1">
      <alignment horizontal="center" vertical="center"/>
    </xf>
    <xf borderId="0" fillId="0" fontId="21" numFmtId="164" xfId="0" applyAlignment="1" applyFont="1" applyNumberFormat="1">
      <alignment horizontal="center" vertical="center"/>
    </xf>
    <xf borderId="0" fillId="4" fontId="23" numFmtId="0" xfId="0" applyAlignment="1" applyFont="1">
      <alignment horizontal="center" vertical="center"/>
    </xf>
    <xf borderId="0" fillId="4" fontId="23" numFmtId="164" xfId="0" applyAlignment="1" applyFont="1" applyNumberFormat="1">
      <alignment horizontal="center" vertical="center"/>
    </xf>
    <xf borderId="0" fillId="4" fontId="24" numFmtId="0" xfId="0" applyAlignment="1" applyFont="1">
      <alignment horizontal="left" readingOrder="0" vertical="center"/>
    </xf>
    <xf borderId="0" fillId="4" fontId="25" numFmtId="0" xfId="0" applyAlignment="1" applyFont="1">
      <alignment horizontal="left" readingOrder="0" vertical="center"/>
    </xf>
    <xf borderId="0" fillId="4" fontId="26" numFmtId="0" xfId="0" applyAlignment="1" applyFont="1">
      <alignment horizontal="left" readingOrder="0" vertical="center"/>
    </xf>
    <xf borderId="10" fillId="0" fontId="1" numFmtId="0" xfId="0" applyAlignment="1" applyBorder="1" applyFont="1">
      <alignment readingOrder="0"/>
    </xf>
    <xf borderId="0" fillId="0" fontId="21" numFmtId="164" xfId="0" applyAlignment="1" applyFont="1" applyNumberFormat="1">
      <alignment horizontal="center" readingOrder="0" vertical="center"/>
    </xf>
    <xf borderId="11" fillId="0" fontId="1" numFmtId="164" xfId="0" applyBorder="1" applyFont="1" applyNumberFormat="1"/>
    <xf borderId="0" fillId="0" fontId="1" numFmtId="0" xfId="0" applyAlignment="1" applyFont="1">
      <alignment readingOrder="0"/>
    </xf>
    <xf borderId="12" fillId="0" fontId="1" numFmtId="164" xfId="0" applyBorder="1" applyFont="1" applyNumberFormat="1"/>
    <xf borderId="11" fillId="8" fontId="1" numFmtId="164" xfId="0" applyBorder="1" applyFont="1" applyNumberFormat="1"/>
    <xf borderId="12" fillId="8" fontId="1" numFmtId="164" xfId="0" applyBorder="1" applyFont="1" applyNumberFormat="1"/>
    <xf borderId="11" fillId="0" fontId="1" numFmtId="164" xfId="0" applyAlignment="1" applyBorder="1" applyFont="1" applyNumberFormat="1">
      <alignment readingOrder="0"/>
    </xf>
    <xf borderId="12" fillId="0" fontId="1" numFmtId="164" xfId="0" applyAlignment="1" applyBorder="1" applyFont="1" applyNumberFormat="1">
      <alignment readingOrder="0"/>
    </xf>
    <xf borderId="13" fillId="8" fontId="1" numFmtId="164" xfId="0" applyAlignment="1" applyBorder="1" applyFont="1" applyNumberFormat="1">
      <alignment readingOrder="0"/>
    </xf>
    <xf borderId="11" fillId="8" fontId="1" numFmtId="164" xfId="0" applyAlignment="1" applyBorder="1" applyFont="1" applyNumberFormat="1">
      <alignment readingOrder="0"/>
    </xf>
    <xf borderId="12" fillId="8" fontId="1" numFmtId="164" xfId="0" applyAlignment="1" applyBorder="1" applyFont="1" applyNumberFormat="1">
      <alignment readingOrder="0"/>
    </xf>
    <xf borderId="0" fillId="10" fontId="23" numFmtId="0" xfId="0" applyAlignment="1" applyFill="1" applyFont="1">
      <alignment horizontal="center" readingOrder="0" vertical="center"/>
    </xf>
    <xf borderId="0" fillId="10" fontId="26" numFmtId="0" xfId="0" applyAlignment="1" applyFont="1">
      <alignment horizontal="center" vertical="center"/>
    </xf>
    <xf borderId="0" fillId="0" fontId="22" numFmtId="0" xfId="0" applyAlignment="1" applyFont="1">
      <alignment horizontal="left" vertical="center"/>
    </xf>
    <xf borderId="0" fillId="0" fontId="21" numFmtId="164" xfId="0" applyAlignment="1" applyFont="1" applyNumberFormat="1">
      <alignment horizontal="left" vertical="center"/>
    </xf>
    <xf borderId="0" fillId="0" fontId="21" numFmtId="167" xfId="0" applyAlignment="1" applyFont="1" applyNumberFormat="1">
      <alignment horizontal="center" vertical="center"/>
    </xf>
    <xf borderId="14" fillId="0" fontId="1" numFmtId="0" xfId="0" applyAlignment="1" applyBorder="1" applyFont="1">
      <alignment readingOrder="0"/>
    </xf>
    <xf borderId="15" fillId="0" fontId="1" numFmtId="164" xfId="0" applyAlignment="1" applyBorder="1" applyFont="1" applyNumberFormat="1">
      <alignment readingOrder="0"/>
    </xf>
    <xf borderId="16" fillId="0" fontId="1" numFmtId="164" xfId="0" applyAlignment="1" applyBorder="1" applyFont="1" applyNumberFormat="1">
      <alignment readingOrder="0"/>
    </xf>
    <xf borderId="17" fillId="8" fontId="1" numFmtId="164" xfId="0" applyAlignment="1" applyBorder="1" applyFont="1" applyNumberFormat="1">
      <alignment readingOrder="0"/>
    </xf>
    <xf borderId="15" fillId="8" fontId="1" numFmtId="164" xfId="0" applyAlignment="1" applyBorder="1" applyFont="1" applyNumberFormat="1">
      <alignment readingOrder="0"/>
    </xf>
    <xf borderId="0" fillId="0" fontId="21" numFmtId="10" xfId="0" applyAlignment="1" applyFont="1" applyNumberFormat="1">
      <alignment horizontal="center" vertical="center"/>
    </xf>
    <xf borderId="16" fillId="8" fontId="1" numFmtId="164" xfId="0" applyAlignment="1" applyBorder="1" applyFont="1" applyNumberFormat="1">
      <alignment readingOrder="0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horizontal="left" vertical="center"/>
    </xf>
    <xf borderId="0" fillId="0" fontId="21" numFmtId="0" xfId="0" applyAlignment="1" applyFont="1">
      <alignment horizontal="left" vertical="center"/>
    </xf>
    <xf borderId="0" fillId="0" fontId="21" numFmtId="167" xfId="0" applyAlignment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F0E2"/>
          <bgColor rgb="FFE6F0E2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Templat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TTM Actuals and Rolling Forecast by Categories</a:t>
            </a:r>
          </a:p>
        </c:rich>
      </c:tx>
      <c:layout>
        <c:manualLayout>
          <c:xMode val="edge"/>
          <c:yMode val="edge"/>
          <c:x val="0.012665908303330859"/>
          <c:y val="0.035590778097982716"/>
        </c:manualLayout>
      </c:layout>
      <c:overlay val="0"/>
    </c:title>
    <c:plotArea>
      <c:layout>
        <c:manualLayout>
          <c:xMode val="edge"/>
          <c:yMode val="edge"/>
          <c:x val="0.018409425625920472"/>
          <c:y val="0.1582612872238233"/>
          <c:w val="0.9560382916053018"/>
          <c:h val="0.6719500480307395"/>
        </c:manualLayout>
      </c:layout>
      <c:barChart>
        <c:barDir val="col"/>
        <c:ser>
          <c:idx val="0"/>
          <c:order val="0"/>
          <c:tx>
            <c:strRef>
              <c:f>Template!$J$7</c:f>
            </c:strRef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Template!$I$8:$I$137</c:f>
            </c:strRef>
          </c:cat>
          <c:val>
            <c:numRef>
              <c:f>Template!$J$8:$J$137</c:f>
              <c:numCache/>
            </c:numRef>
          </c:val>
        </c:ser>
        <c:ser>
          <c:idx val="1"/>
          <c:order val="1"/>
          <c:tx>
            <c:strRef>
              <c:f>Template!$L$7</c:f>
            </c:strRef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Template!$I$8:$I$137</c:f>
            </c:strRef>
          </c:cat>
          <c:val>
            <c:numRef>
              <c:f>Template!$L$8:$L$137</c:f>
              <c:numCache/>
            </c:numRef>
          </c:val>
        </c:ser>
        <c:ser>
          <c:idx val="2"/>
          <c:order val="2"/>
          <c:tx>
            <c:strRef>
              <c:f>Template!$K$7</c:f>
            </c:strRef>
          </c:tx>
          <c:cat>
            <c:strRef>
              <c:f>Template!$I$8:$I$137</c:f>
            </c:strRef>
          </c:cat>
          <c:val>
            <c:numRef>
              <c:f>Template!$K$8:$K$137</c:f>
              <c:numCache/>
            </c:numRef>
          </c:val>
        </c:ser>
        <c:ser>
          <c:idx val="3"/>
          <c:order val="3"/>
          <c:tx>
            <c:strRef>
              <c:f>Template!$M$7</c:f>
            </c:strRef>
          </c:tx>
          <c:cat>
            <c:strRef>
              <c:f>Template!$I$8:$I$137</c:f>
            </c:strRef>
          </c:cat>
          <c:val>
            <c:numRef>
              <c:f>Template!$M$8:$M$137</c:f>
              <c:numCache/>
            </c:numRef>
          </c:val>
        </c:ser>
        <c:axId val="521740118"/>
        <c:axId val="13141026"/>
      </c:barChart>
      <c:catAx>
        <c:axId val="521740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1026"/>
      </c:catAx>
      <c:valAx>
        <c:axId val="13141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52174011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Breakdown of Expenses</a:t>
            </a:r>
          </a:p>
        </c:rich>
      </c:tx>
      <c:overlay val="0"/>
    </c:title>
    <c:plotArea>
      <c:layout>
        <c:manualLayout>
          <c:xMode val="edge"/>
          <c:yMode val="edge"/>
          <c:x val="0.1705020920502092"/>
          <c:y val="0.12134502923976608"/>
          <c:w val="0.7937238493723849"/>
          <c:h val="0.7690058479532164"/>
        </c:manualLayout>
      </c:layout>
      <c:barChart>
        <c:barDir val="bar"/>
        <c:ser>
          <c:idx val="0"/>
          <c:order val="0"/>
          <c:tx>
            <c:strRef>
              <c:f>Template!$P$7</c:f>
            </c:strRef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Template!$O$8:$O$137</c:f>
            </c:strRef>
          </c:cat>
          <c:val>
            <c:numRef>
              <c:f>Template!$P$8:$P$137</c:f>
              <c:numCache/>
            </c:numRef>
          </c:val>
        </c:ser>
        <c:ser>
          <c:idx val="1"/>
          <c:order val="1"/>
          <c:tx>
            <c:strRef>
              <c:f>Template!$R$7</c:f>
            </c:strRef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Template!$O$8:$O$137</c:f>
            </c:strRef>
          </c:cat>
          <c:val>
            <c:numRef>
              <c:f>Template!$R$8:$R$137</c:f>
              <c:numCache/>
            </c:numRef>
          </c:val>
        </c:ser>
        <c:ser>
          <c:idx val="2"/>
          <c:order val="2"/>
          <c:tx>
            <c:strRef>
              <c:f>Template!$Q$7</c:f>
            </c:strRef>
          </c:tx>
          <c:cat>
            <c:strRef>
              <c:f>Template!$O$8:$O$137</c:f>
            </c:strRef>
          </c:cat>
          <c:val>
            <c:numRef>
              <c:f>Template!$Q$8:$Q$137</c:f>
              <c:numCache/>
            </c:numRef>
          </c:val>
        </c:ser>
        <c:ser>
          <c:idx val="3"/>
          <c:order val="3"/>
          <c:tx>
            <c:strRef>
              <c:f>Template!$S$7</c:f>
            </c:strRef>
          </c:tx>
          <c:cat>
            <c:strRef>
              <c:f>Template!$O$8:$O$137</c:f>
            </c:strRef>
          </c:cat>
          <c:val>
            <c:numRef>
              <c:f>Template!$S$8:$S$137</c:f>
              <c:numCache/>
            </c:numRef>
          </c:val>
        </c:ser>
        <c:axId val="623627875"/>
        <c:axId val="730781129"/>
      </c:barChart>
      <c:catAx>
        <c:axId val="6236278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781129"/>
      </c:catAx>
      <c:valAx>
        <c:axId val="7307811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2362787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5</xdr:row>
      <xdr:rowOff>200025</xdr:rowOff>
    </xdr:from>
    <xdr:ext cx="6467475" cy="3257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485775</xdr:colOff>
      <xdr:row>5</xdr:row>
      <xdr:rowOff>200025</xdr:rowOff>
    </xdr:from>
    <xdr:ext cx="4552950" cy="3257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7</xdr:row>
      <xdr:rowOff>123825</xdr:rowOff>
    </xdr:from>
    <xdr:ext cx="2752725" cy="552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7</xdr:row>
      <xdr:rowOff>438150</xdr:rowOff>
    </xdr:from>
    <xdr:ext cx="4248150" cy="2552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3573125" cy="35718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4:G136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product" TargetMode="External"/><Relationship Id="rId2" Type="http://schemas.openxmlformats.org/officeDocument/2006/relationships/hyperlink" Target="https://coefficient.io/i-am-unable-to-install-the-coefficient-google-sheets-extension/?utm_medium=referral&amp;utm_source=get-started-sheet&amp;utm_campaign=quickstart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29.0"/>
    <col customWidth="1" min="3" max="3" width="28.88"/>
    <col customWidth="1" min="4" max="7" width="22.13"/>
    <col customWidth="1" min="8" max="8" width="2.88"/>
    <col customWidth="1" hidden="1" min="9" max="9" width="16.13"/>
    <col customWidth="1" hidden="1" min="10" max="10" width="10.0"/>
    <col customWidth="1" hidden="1" min="11" max="13" width="12.63"/>
    <col customWidth="1" hidden="1" min="14" max="14" width="2.88"/>
    <col customWidth="1" hidden="1" min="15" max="15" width="15.88"/>
    <col customWidth="1" hidden="1" min="16" max="17" width="10.0"/>
    <col customWidth="1" hidden="1" min="18" max="19" width="12.63"/>
    <col customWidth="1" hidden="1" min="20" max="20" width="6.25"/>
  </cols>
  <sheetData>
    <row r="1">
      <c r="A1" s="53"/>
      <c r="B1" s="24"/>
      <c r="C1" s="54"/>
      <c r="D1" s="54"/>
      <c r="E1" s="54"/>
      <c r="F1" s="54"/>
      <c r="G1" s="55"/>
      <c r="H1" s="53"/>
      <c r="I1" s="53"/>
      <c r="J1" s="56"/>
      <c r="K1" s="56"/>
      <c r="L1" s="56"/>
      <c r="M1" s="56"/>
      <c r="N1" s="53"/>
      <c r="O1" s="53"/>
      <c r="P1" s="56"/>
      <c r="Q1" s="56"/>
      <c r="R1" s="56"/>
      <c r="S1" s="56"/>
      <c r="T1" s="53"/>
    </row>
    <row r="2">
      <c r="A2" s="57"/>
      <c r="B2" s="57"/>
      <c r="C2" s="57"/>
      <c r="D2" s="57"/>
      <c r="E2" s="57"/>
      <c r="F2" s="57"/>
      <c r="G2" s="57"/>
      <c r="H2" s="57"/>
      <c r="I2" s="57"/>
      <c r="J2" s="58"/>
      <c r="K2" s="58"/>
      <c r="L2" s="58"/>
      <c r="M2" s="58"/>
      <c r="N2" s="57"/>
      <c r="O2" s="57"/>
      <c r="P2" s="58"/>
      <c r="Q2" s="58"/>
      <c r="R2" s="58"/>
      <c r="S2" s="58"/>
      <c r="T2" s="57"/>
    </row>
    <row r="3">
      <c r="A3" s="57"/>
      <c r="B3" s="59" t="s">
        <v>34</v>
      </c>
      <c r="F3" s="57"/>
      <c r="G3" s="57"/>
      <c r="H3" s="57"/>
      <c r="I3" s="57"/>
      <c r="J3" s="58"/>
      <c r="K3" s="58"/>
      <c r="L3" s="58"/>
      <c r="M3" s="58"/>
      <c r="N3" s="57"/>
      <c r="O3" s="57"/>
      <c r="P3" s="58"/>
      <c r="Q3" s="58"/>
      <c r="R3" s="58"/>
      <c r="S3" s="58"/>
      <c r="T3" s="57"/>
    </row>
    <row r="4">
      <c r="A4" s="57"/>
      <c r="B4" s="60" t="s">
        <v>35</v>
      </c>
      <c r="H4" s="57"/>
      <c r="I4" s="57"/>
      <c r="J4" s="58"/>
      <c r="K4" s="58"/>
      <c r="L4" s="58"/>
      <c r="M4" s="58"/>
      <c r="N4" s="57"/>
      <c r="O4" s="57"/>
      <c r="P4" s="58"/>
      <c r="Q4" s="58"/>
      <c r="R4" s="58"/>
      <c r="S4" s="58"/>
      <c r="T4" s="57"/>
    </row>
    <row r="5">
      <c r="A5" s="57"/>
      <c r="B5" s="61"/>
      <c r="C5" s="57"/>
      <c r="D5" s="57"/>
      <c r="E5" s="57"/>
      <c r="F5" s="57"/>
      <c r="G5" s="57"/>
      <c r="H5" s="57"/>
      <c r="I5" s="57"/>
      <c r="J5" s="58"/>
      <c r="K5" s="58"/>
      <c r="L5" s="58"/>
      <c r="M5" s="58"/>
      <c r="N5" s="57"/>
      <c r="O5" s="57"/>
      <c r="P5" s="58"/>
      <c r="Q5" s="58"/>
      <c r="R5" s="58"/>
      <c r="S5" s="58"/>
      <c r="T5" s="57"/>
    </row>
    <row r="6" ht="18.0" customHeight="1">
      <c r="A6" s="53"/>
      <c r="B6" s="53"/>
      <c r="C6" s="53"/>
      <c r="D6" s="53"/>
      <c r="E6" s="53"/>
      <c r="F6" s="53"/>
      <c r="G6" s="53"/>
      <c r="H6" s="53"/>
      <c r="I6" s="53"/>
      <c r="J6" s="56"/>
      <c r="K6" s="56"/>
      <c r="L6" s="56"/>
      <c r="M6" s="56"/>
      <c r="N6" s="53"/>
      <c r="O6" s="53"/>
      <c r="P6" s="56"/>
      <c r="Q6" s="56"/>
      <c r="R6" s="56"/>
      <c r="S6" s="56"/>
      <c r="T6" s="53"/>
    </row>
    <row r="7" ht="18.0" customHeight="1">
      <c r="A7" s="53"/>
      <c r="B7" s="53"/>
      <c r="C7" s="53"/>
      <c r="D7" s="53"/>
      <c r="E7" s="53"/>
      <c r="F7" s="53"/>
      <c r="G7" s="53"/>
      <c r="H7" s="53"/>
      <c r="I7" s="53" t="str">
        <f>IFERROR(__xludf.DUMMYFUNCTION("QUERY({B24:E137},""select Col1,sum(Col3),sum(Col4) where Col1 is not null group by Col1 label Col1 'Category',sum(Col3) 'TTM Actuals',sum(Col4) 'Rolling Forecast'"",0)"),"Category")</f>
        <v>Category</v>
      </c>
      <c r="J7" s="56" t="str">
        <f>IFERROR(__xludf.DUMMYFUNCTION("""COMPUTED_VALUE"""),"TTM Actuals")</f>
        <v>TTM Actuals</v>
      </c>
      <c r="K7" s="56" t="str">
        <f>IFERROR(__xludf.DUMMYFUNCTION("""COMPUTED_VALUE"""),"Rolling Forecast")</f>
        <v>Rolling Forecast</v>
      </c>
      <c r="L7" s="63" t="s">
        <v>38</v>
      </c>
      <c r="M7" s="63" t="s">
        <v>40</v>
      </c>
      <c r="N7" s="53"/>
      <c r="O7" s="65" t="s">
        <v>25</v>
      </c>
      <c r="P7" s="56" t="s">
        <v>41</v>
      </c>
      <c r="Q7" s="56" t="s">
        <v>42</v>
      </c>
      <c r="R7" s="63" t="s">
        <v>38</v>
      </c>
      <c r="S7" s="63" t="s">
        <v>40</v>
      </c>
      <c r="T7" s="53"/>
    </row>
    <row r="8" ht="18.0" customHeight="1">
      <c r="A8" s="53"/>
      <c r="B8" s="53"/>
      <c r="C8" s="53"/>
      <c r="D8" s="53"/>
      <c r="E8" s="53"/>
      <c r="F8" s="53"/>
      <c r="G8" s="53"/>
      <c r="H8" s="53"/>
      <c r="I8" s="53" t="str">
        <f>IFERROR(__xludf.DUMMYFUNCTION("""COMPUTED_VALUE"""),"Capital Expenditures")</f>
        <v>Capital Expenditures</v>
      </c>
      <c r="J8" s="56">
        <f>IFERROR(__xludf.DUMMYFUNCTION("""COMPUTED_VALUE"""),157700.0)</f>
        <v>157700</v>
      </c>
      <c r="K8" s="56">
        <f>IFERROR(__xludf.DUMMYFUNCTION("""COMPUTED_VALUE"""),175838.62152443972)</f>
        <v>175838.6215</v>
      </c>
      <c r="L8" s="56" t="str">
        <f t="shared" ref="L8:M8" si="1">BYROW(J8:J137,LAMBDA(x,IF(x="",,TEXT(x,IF(x&gt;=1000000,"$#.#,,",IF(x&gt;=1000,"$#.#,","$#,###")))&amp;IF(x&gt;=1000000,"M",IF(x&gt;=1000,"k",)))))</f>
        <v>$157.7k</v>
      </c>
      <c r="M8" s="56" t="str">
        <f t="shared" si="1"/>
        <v>$175.8k</v>
      </c>
      <c r="N8" s="53"/>
      <c r="O8" s="53" t="str">
        <f>IFERROR(__xludf.DUMMYFUNCTION("IFERROR(SORT(FILTER(C24:E137,B24:B137=""Expenses""),2,0))"),"Salaries and Wages")</f>
        <v>Salaries and Wages</v>
      </c>
      <c r="P8" s="56">
        <f>IFERROR(__xludf.DUMMYFUNCTION("""COMPUTED_VALUE"""),910000.0)</f>
        <v>910000</v>
      </c>
      <c r="Q8" s="56">
        <f>IFERROR(__xludf.DUMMYFUNCTION("""COMPUTED_VALUE"""),919008.4578238048)</f>
        <v>919008.4578</v>
      </c>
      <c r="R8" s="56" t="str">
        <f t="shared" ref="R8:S8" si="2">BYROW(P8:P137,LAMBDA(x,IF(x="",,TEXT(x,IF(x&gt;=1000000,"$#.#,,",IF(x&gt;=1000,"$#.#,","$#,###")))&amp;IF(x&gt;=1000000,"M",IF(x&gt;=1000,"k",)))))</f>
        <v>$910.k</v>
      </c>
      <c r="S8" s="56" t="str">
        <f t="shared" si="2"/>
        <v>$919.k</v>
      </c>
      <c r="T8" s="53"/>
    </row>
    <row r="9" ht="18.0" customHeight="1">
      <c r="A9" s="53"/>
      <c r="B9" s="53"/>
      <c r="C9" s="53"/>
      <c r="D9" s="53"/>
      <c r="E9" s="53"/>
      <c r="F9" s="53"/>
      <c r="G9" s="53"/>
      <c r="H9" s="53"/>
      <c r="I9" s="53" t="str">
        <f>IFERROR(__xludf.DUMMYFUNCTION("""COMPUTED_VALUE"""),"Expenses")</f>
        <v>Expenses</v>
      </c>
      <c r="J9" s="56">
        <f>IFERROR(__xludf.DUMMYFUNCTION("""COMPUTED_VALUE"""),1446100.0)</f>
        <v>1446100</v>
      </c>
      <c r="K9" s="56">
        <f>IFERROR(__xludf.DUMMYFUNCTION("""COMPUTED_VALUE"""),1472212.3015278913)</f>
        <v>1472212.302</v>
      </c>
      <c r="L9" s="56" t="s">
        <v>43</v>
      </c>
      <c r="M9" s="56" t="s">
        <v>44</v>
      </c>
      <c r="N9" s="53"/>
      <c r="O9" s="53" t="str">
        <f>IFERROR(__xludf.DUMMYFUNCTION("""COMPUTED_VALUE"""),"Marketing and Sales")</f>
        <v>Marketing and Sales</v>
      </c>
      <c r="P9" s="56">
        <f>IFERROR(__xludf.DUMMYFUNCTION("""COMPUTED_VALUE"""),244500.0)</f>
        <v>244500</v>
      </c>
      <c r="Q9" s="56">
        <f>IFERROR(__xludf.DUMMYFUNCTION("""COMPUTED_VALUE"""),248409.5928926877)</f>
        <v>248409.5929</v>
      </c>
      <c r="R9" s="56" t="s">
        <v>45</v>
      </c>
      <c r="S9" s="56" t="s">
        <v>46</v>
      </c>
      <c r="T9" s="53"/>
    </row>
    <row r="10" ht="18.0" customHeight="1">
      <c r="A10" s="53"/>
      <c r="B10" s="53"/>
      <c r="C10" s="53"/>
      <c r="D10" s="53"/>
      <c r="E10" s="53"/>
      <c r="F10" s="53"/>
      <c r="G10" s="53"/>
      <c r="H10" s="53"/>
      <c r="I10" s="53" t="str">
        <f>IFERROR(__xludf.DUMMYFUNCTION("""COMPUTED_VALUE"""),"Revenue")</f>
        <v>Revenue</v>
      </c>
      <c r="J10" s="56">
        <f>IFERROR(__xludf.DUMMYFUNCTION("""COMPUTED_VALUE"""),821700.0)</f>
        <v>821700</v>
      </c>
      <c r="K10" s="56">
        <f>IFERROR(__xludf.DUMMYFUNCTION("""COMPUTED_VALUE"""),838397.0459787921)</f>
        <v>838397.046</v>
      </c>
      <c r="L10" s="56" t="s">
        <v>47</v>
      </c>
      <c r="M10" s="56" t="s">
        <v>48</v>
      </c>
      <c r="N10" s="53"/>
      <c r="O10" s="53" t="str">
        <f>IFERROR(__xludf.DUMMYFUNCTION("""COMPUTED_VALUE"""),"Cloud Hosting")</f>
        <v>Cloud Hosting</v>
      </c>
      <c r="P10" s="56">
        <f>IFERROR(__xludf.DUMMYFUNCTION("""COMPUTED_VALUE"""),189700.0)</f>
        <v>189700</v>
      </c>
      <c r="Q10" s="56">
        <f>IFERROR(__xludf.DUMMYFUNCTION("""COMPUTED_VALUE"""),199190.27971974807)</f>
        <v>199190.2797</v>
      </c>
      <c r="R10" s="56" t="s">
        <v>49</v>
      </c>
      <c r="S10" s="56" t="s">
        <v>50</v>
      </c>
      <c r="T10" s="53"/>
    </row>
    <row r="11" ht="18.0" customHeight="1">
      <c r="A11" s="53"/>
      <c r="B11" s="53"/>
      <c r="C11" s="53"/>
      <c r="D11" s="53"/>
      <c r="E11" s="53"/>
      <c r="F11" s="53"/>
      <c r="G11" s="53"/>
      <c r="H11" s="53"/>
      <c r="I11" s="53"/>
      <c r="J11" s="56"/>
      <c r="K11" s="56"/>
      <c r="L11" s="56"/>
      <c r="M11" s="56"/>
      <c r="N11" s="53"/>
      <c r="O11" s="53" t="str">
        <f>IFERROR(__xludf.DUMMYFUNCTION("""COMPUTED_VALUE"""),"Software Licenses")</f>
        <v>Software Licenses</v>
      </c>
      <c r="P11" s="56">
        <f>IFERROR(__xludf.DUMMYFUNCTION("""COMPUTED_VALUE"""),61900.0)</f>
        <v>61900</v>
      </c>
      <c r="Q11" s="56">
        <f>IFERROR(__xludf.DUMMYFUNCTION("""COMPUTED_VALUE"""),64177.95611473016)</f>
        <v>64177.95611</v>
      </c>
      <c r="R11" s="56" t="s">
        <v>51</v>
      </c>
      <c r="S11" s="56" t="s">
        <v>52</v>
      </c>
      <c r="T11" s="53"/>
    </row>
    <row r="12" ht="18.0" customHeight="1">
      <c r="A12" s="53"/>
      <c r="B12" s="53"/>
      <c r="C12" s="53"/>
      <c r="D12" s="53"/>
      <c r="E12" s="53"/>
      <c r="F12" s="53"/>
      <c r="G12" s="53"/>
      <c r="H12" s="53"/>
      <c r="I12" s="53"/>
      <c r="J12" s="56"/>
      <c r="K12" s="56"/>
      <c r="L12" s="56"/>
      <c r="M12" s="56"/>
      <c r="N12" s="53"/>
      <c r="O12" s="53" t="str">
        <f>IFERROR(__xludf.DUMMYFUNCTION("""COMPUTED_VALUE"""),"Customer Support")</f>
        <v>Customer Support</v>
      </c>
      <c r="P12" s="56">
        <f>IFERROR(__xludf.DUMMYFUNCTION("""COMPUTED_VALUE"""),40000.0)</f>
        <v>40000</v>
      </c>
      <c r="Q12" s="56">
        <f>IFERROR(__xludf.DUMMYFUNCTION("""COMPUTED_VALUE"""),41426.01497692065)</f>
        <v>41426.01498</v>
      </c>
      <c r="R12" s="56" t="s">
        <v>53</v>
      </c>
      <c r="S12" s="56" t="s">
        <v>54</v>
      </c>
      <c r="T12" s="53"/>
    </row>
    <row r="13" ht="18.0" customHeight="1">
      <c r="A13" s="53"/>
      <c r="B13" s="53"/>
      <c r="C13" s="53"/>
      <c r="D13" s="53"/>
      <c r="E13" s="53"/>
      <c r="F13" s="53"/>
      <c r="G13" s="53"/>
      <c r="H13" s="53"/>
      <c r="I13" s="53"/>
      <c r="J13" s="56"/>
      <c r="K13" s="56"/>
      <c r="L13" s="56"/>
      <c r="M13" s="56"/>
      <c r="N13" s="53"/>
      <c r="O13" s="53"/>
      <c r="P13" s="56"/>
      <c r="Q13" s="56"/>
      <c r="R13" s="56"/>
      <c r="S13" s="56"/>
      <c r="T13" s="53"/>
    </row>
    <row r="14" ht="18.0" customHeight="1">
      <c r="A14" s="53"/>
      <c r="B14" s="53"/>
      <c r="C14" s="53"/>
      <c r="D14" s="53"/>
      <c r="E14" s="53"/>
      <c r="F14" s="53"/>
      <c r="G14" s="53"/>
      <c r="H14" s="53"/>
      <c r="I14" s="53"/>
      <c r="J14" s="56"/>
      <c r="K14" s="56"/>
      <c r="L14" s="56"/>
      <c r="M14" s="56"/>
      <c r="N14" s="53"/>
      <c r="O14" s="53"/>
      <c r="P14" s="56"/>
      <c r="Q14" s="56"/>
      <c r="R14" s="56"/>
      <c r="S14" s="56"/>
      <c r="T14" s="53"/>
    </row>
    <row r="15" ht="18.0" customHeight="1">
      <c r="A15" s="53"/>
      <c r="B15" s="53"/>
      <c r="C15" s="53"/>
      <c r="D15" s="53"/>
      <c r="E15" s="53"/>
      <c r="F15" s="53"/>
      <c r="G15" s="53"/>
      <c r="H15" s="53"/>
      <c r="I15" s="53"/>
      <c r="J15" s="56"/>
      <c r="K15" s="56"/>
      <c r="L15" s="56"/>
      <c r="M15" s="56"/>
      <c r="N15" s="53"/>
      <c r="O15" s="53"/>
      <c r="P15" s="56"/>
      <c r="Q15" s="56"/>
      <c r="R15" s="56"/>
      <c r="S15" s="56"/>
      <c r="T15" s="53"/>
    </row>
    <row r="16" ht="18.0" customHeight="1">
      <c r="A16" s="53"/>
      <c r="B16" s="53"/>
      <c r="C16" s="53"/>
      <c r="D16" s="53"/>
      <c r="E16" s="53"/>
      <c r="F16" s="53"/>
      <c r="G16" s="53"/>
      <c r="H16" s="53"/>
      <c r="I16" s="53"/>
      <c r="J16" s="56"/>
      <c r="K16" s="56"/>
      <c r="L16" s="56"/>
      <c r="M16" s="56"/>
      <c r="N16" s="53"/>
      <c r="O16" s="53"/>
      <c r="P16" s="56"/>
      <c r="Q16" s="56"/>
      <c r="R16" s="56"/>
      <c r="S16" s="56"/>
      <c r="T16" s="53"/>
    </row>
    <row r="17" ht="18.0" customHeight="1">
      <c r="A17" s="53"/>
      <c r="B17" s="53"/>
      <c r="C17" s="53"/>
      <c r="D17" s="53"/>
      <c r="E17" s="53"/>
      <c r="F17" s="53"/>
      <c r="G17" s="53"/>
      <c r="H17" s="53"/>
      <c r="I17" s="53"/>
      <c r="J17" s="56"/>
      <c r="K17" s="56"/>
      <c r="L17" s="56"/>
      <c r="M17" s="56"/>
      <c r="N17" s="53"/>
      <c r="O17" s="53"/>
      <c r="P17" s="56"/>
      <c r="Q17" s="56"/>
      <c r="R17" s="56"/>
      <c r="S17" s="56"/>
      <c r="T17" s="53"/>
    </row>
    <row r="18" ht="18.0" customHeight="1">
      <c r="A18" s="53"/>
      <c r="B18" s="53"/>
      <c r="C18" s="53"/>
      <c r="D18" s="53"/>
      <c r="E18" s="53"/>
      <c r="F18" s="53"/>
      <c r="G18" s="53"/>
      <c r="H18" s="53"/>
      <c r="I18" s="53"/>
      <c r="J18" s="56"/>
      <c r="K18" s="56"/>
      <c r="L18" s="56"/>
      <c r="M18" s="56"/>
      <c r="N18" s="53"/>
      <c r="O18" s="53"/>
      <c r="P18" s="56"/>
      <c r="Q18" s="56"/>
      <c r="R18" s="56"/>
      <c r="S18" s="56"/>
      <c r="T18" s="53"/>
    </row>
    <row r="19" ht="18.0" customHeight="1">
      <c r="A19" s="53"/>
      <c r="B19" s="53"/>
      <c r="C19" s="53"/>
      <c r="D19" s="53"/>
      <c r="E19" s="53"/>
      <c r="F19" s="53"/>
      <c r="G19" s="53"/>
      <c r="H19" s="53"/>
      <c r="I19" s="53"/>
      <c r="J19" s="56"/>
      <c r="K19" s="56"/>
      <c r="L19" s="56"/>
      <c r="M19" s="56"/>
      <c r="N19" s="53"/>
      <c r="O19" s="53"/>
      <c r="P19" s="56"/>
      <c r="Q19" s="56"/>
      <c r="R19" s="56"/>
      <c r="S19" s="56"/>
      <c r="T19" s="53"/>
    </row>
    <row r="20" ht="18.0" customHeight="1">
      <c r="A20" s="53"/>
      <c r="B20" s="53"/>
      <c r="C20" s="53"/>
      <c r="D20" s="53"/>
      <c r="E20" s="53"/>
      <c r="F20" s="53"/>
      <c r="G20" s="53"/>
      <c r="H20" s="53"/>
      <c r="I20" s="53"/>
      <c r="J20" s="56"/>
      <c r="K20" s="56"/>
      <c r="L20" s="56"/>
      <c r="M20" s="56"/>
      <c r="N20" s="53"/>
      <c r="O20" s="53"/>
      <c r="P20" s="56"/>
      <c r="Q20" s="56"/>
      <c r="R20" s="56"/>
      <c r="S20" s="56"/>
      <c r="T20" s="53"/>
    </row>
    <row r="21" ht="21.0" customHeight="1">
      <c r="A21" s="53"/>
      <c r="B21" s="53"/>
      <c r="C21" s="53"/>
      <c r="D21" s="53"/>
      <c r="E21" s="53"/>
      <c r="F21" s="53"/>
      <c r="G21" s="53"/>
      <c r="H21" s="53"/>
      <c r="I21" s="53"/>
      <c r="J21" s="56"/>
      <c r="K21" s="56"/>
      <c r="L21" s="56"/>
      <c r="M21" s="56"/>
      <c r="N21" s="53"/>
      <c r="O21" s="53"/>
      <c r="P21" s="56"/>
      <c r="Q21" s="56"/>
      <c r="R21" s="56"/>
      <c r="S21" s="56"/>
      <c r="T21" s="53"/>
    </row>
    <row r="22">
      <c r="A22" s="53"/>
      <c r="B22" s="74" t="s">
        <v>55</v>
      </c>
      <c r="C22" s="74" t="s">
        <v>5</v>
      </c>
      <c r="D22" s="74" t="s">
        <v>41</v>
      </c>
      <c r="E22" s="74" t="s">
        <v>42</v>
      </c>
      <c r="F22" s="74" t="s">
        <v>56</v>
      </c>
      <c r="G22" s="74" t="s">
        <v>57</v>
      </c>
      <c r="H22" s="53"/>
      <c r="I22" s="53"/>
      <c r="J22" s="56"/>
      <c r="K22" s="56"/>
      <c r="L22" s="56"/>
      <c r="M22" s="56"/>
      <c r="N22" s="53"/>
      <c r="O22" s="53"/>
      <c r="P22" s="56"/>
      <c r="Q22" s="56"/>
      <c r="R22" s="56"/>
      <c r="S22" s="56"/>
      <c r="T22" s="53"/>
    </row>
    <row r="23">
      <c r="A23" s="53"/>
      <c r="D23" s="75" t="str">
        <f>IFERROR("("&amp;TEXT('Actuals and Forecasts'!D4,"mmm-yyyy")&amp;" to "&amp;TEXT('Actuals and Forecasts'!O4,"mmm-yyyy")&amp;")","")</f>
        <v>(Sep-2025 to Aug-2026)</v>
      </c>
      <c r="E23" s="75" t="str">
        <f>IFERROR("("&amp;TEXT('Actuals and Forecasts'!P4,"mmm-yyyy")&amp;" to "&amp;TEXT('Actuals and Forecasts'!AA4,"mmm-yyyy")&amp;")","")</f>
        <v>(Sep-2026 to Aug-2027)</v>
      </c>
      <c r="H23" s="53"/>
      <c r="I23" s="53"/>
      <c r="J23" s="56"/>
      <c r="K23" s="56"/>
      <c r="L23" s="56"/>
      <c r="M23" s="56"/>
      <c r="N23" s="53"/>
      <c r="O23" s="53"/>
      <c r="P23" s="56"/>
      <c r="Q23" s="56"/>
      <c r="R23" s="56"/>
      <c r="S23" s="56"/>
      <c r="T23" s="53"/>
    </row>
    <row r="24">
      <c r="A24" s="53"/>
      <c r="B24" s="76" t="str">
        <f t="array" ref="B24:C39">UNIQUE('Actuals and Forecasts'!B5:C137)</f>
        <v>Revenue</v>
      </c>
      <c r="C24" s="77" t="s">
        <v>19</v>
      </c>
      <c r="D24" s="78">
        <f t="array" ref="D24:D137">MAP(B24:B137,C24:C137,LAMBDA(x,y,IF(y="",,SUMIFS('Actuals and Forecasts'!AB:AB,'Actuals and Forecasts'!B:B,x,'Actuals and Forecasts'!C:C,y))))</f>
        <v>587500</v>
      </c>
      <c r="E24" s="78">
        <f t="array" ref="E24:E137">MAP(B24:B137,C24:C137,LAMBDA(x,y,IF(y="",,SUMIFS('Actuals and Forecasts'!AC:AC,'Actuals and Forecasts'!B:B,x,'Actuals and Forecasts'!C:C,y))))</f>
        <v>599000.9275</v>
      </c>
      <c r="F24" s="78">
        <f t="array" ref="F24:F137">MAP(D24:D137,E24:E137,LAMBDA(x,y,IF(x="",,y-x)))</f>
        <v>11500.92749</v>
      </c>
      <c r="G24" s="84">
        <f t="array" ref="G24:G137">MAP(D24:D137,F24:F137,LAMBDA(x,y,IF(x="",,y/x)))</f>
        <v>0.0195760468</v>
      </c>
      <c r="H24" s="53"/>
      <c r="I24" s="53"/>
      <c r="J24" s="56"/>
      <c r="K24" s="56"/>
      <c r="L24" s="56"/>
      <c r="M24" s="56"/>
      <c r="N24" s="53"/>
      <c r="O24" s="53"/>
      <c r="P24" s="56"/>
      <c r="Q24" s="56"/>
      <c r="R24" s="56"/>
      <c r="S24" s="56"/>
      <c r="T24" s="53"/>
    </row>
    <row r="25">
      <c r="A25" s="53"/>
      <c r="B25" s="76" t="s">
        <v>18</v>
      </c>
      <c r="C25" s="77" t="s">
        <v>20</v>
      </c>
      <c r="D25" s="78">
        <v>108500.0</v>
      </c>
      <c r="E25" s="78">
        <v>108772.8656873219</v>
      </c>
      <c r="F25" s="78">
        <v>272.8656873219006</v>
      </c>
      <c r="G25" s="84">
        <v>0.0025148911273907893</v>
      </c>
      <c r="H25" s="53"/>
      <c r="I25" s="53"/>
      <c r="J25" s="56"/>
      <c r="K25" s="56"/>
      <c r="L25" s="56"/>
      <c r="M25" s="56"/>
      <c r="N25" s="53"/>
      <c r="O25" s="53"/>
      <c r="P25" s="56"/>
      <c r="Q25" s="56"/>
      <c r="R25" s="56"/>
      <c r="S25" s="56"/>
      <c r="T25" s="53"/>
    </row>
    <row r="26">
      <c r="A26" s="53"/>
      <c r="B26" s="76" t="s">
        <v>18</v>
      </c>
      <c r="C26" s="77" t="s">
        <v>22</v>
      </c>
      <c r="D26" s="78">
        <v>61400.0</v>
      </c>
      <c r="E26" s="78">
        <v>63031.63677795752</v>
      </c>
      <c r="F26" s="78">
        <v>1631.636777957523</v>
      </c>
      <c r="G26" s="84">
        <v>0.026573888891816336</v>
      </c>
      <c r="H26" s="53"/>
      <c r="I26" s="53"/>
      <c r="J26" s="56"/>
      <c r="K26" s="56"/>
      <c r="L26" s="56"/>
      <c r="M26" s="56"/>
      <c r="N26" s="53"/>
      <c r="O26" s="53"/>
      <c r="P26" s="56"/>
      <c r="Q26" s="56"/>
      <c r="R26" s="56"/>
      <c r="S26" s="56"/>
      <c r="T26" s="53"/>
    </row>
    <row r="27">
      <c r="A27" s="53"/>
      <c r="B27" s="76" t="s">
        <v>18</v>
      </c>
      <c r="C27" s="77" t="s">
        <v>23</v>
      </c>
      <c r="D27" s="78">
        <v>38800.0</v>
      </c>
      <c r="E27" s="78">
        <v>41129.639432288095</v>
      </c>
      <c r="F27" s="78">
        <v>2329.639432288095</v>
      </c>
      <c r="G27" s="84">
        <v>0.06004225340948699</v>
      </c>
      <c r="H27" s="53"/>
      <c r="I27" s="53"/>
      <c r="J27" s="56"/>
      <c r="K27" s="56"/>
      <c r="L27" s="56"/>
      <c r="M27" s="56"/>
      <c r="N27" s="53"/>
      <c r="O27" s="53"/>
      <c r="P27" s="56"/>
      <c r="Q27" s="56"/>
      <c r="R27" s="56"/>
      <c r="S27" s="56"/>
      <c r="T27" s="53"/>
    </row>
    <row r="28">
      <c r="A28" s="53"/>
      <c r="B28" s="76" t="s">
        <v>18</v>
      </c>
      <c r="C28" s="77" t="s">
        <v>24</v>
      </c>
      <c r="D28" s="78">
        <v>25500.0</v>
      </c>
      <c r="E28" s="78">
        <v>26461.976588094156</v>
      </c>
      <c r="F28" s="78">
        <v>961.9765880941559</v>
      </c>
      <c r="G28" s="84">
        <v>0.03772457208212376</v>
      </c>
      <c r="H28" s="53"/>
      <c r="I28" s="53"/>
      <c r="J28" s="56"/>
      <c r="K28" s="56"/>
      <c r="L28" s="56"/>
      <c r="M28" s="56"/>
      <c r="N28" s="53"/>
      <c r="O28" s="53"/>
      <c r="P28" s="56"/>
      <c r="Q28" s="56"/>
      <c r="R28" s="56"/>
      <c r="S28" s="56"/>
      <c r="T28" s="53"/>
    </row>
    <row r="29">
      <c r="A29" s="53"/>
      <c r="B29" s="76" t="s">
        <v>25</v>
      </c>
      <c r="C29" s="77" t="s">
        <v>26</v>
      </c>
      <c r="D29" s="78">
        <v>189700.0</v>
      </c>
      <c r="E29" s="78">
        <v>199190.27971974807</v>
      </c>
      <c r="F29" s="78">
        <v>9490.279719748069</v>
      </c>
      <c r="G29" s="84">
        <v>0.05002783194384854</v>
      </c>
      <c r="H29" s="53"/>
      <c r="I29" s="53"/>
      <c r="J29" s="56"/>
      <c r="K29" s="56"/>
      <c r="L29" s="56"/>
      <c r="M29" s="56"/>
      <c r="N29" s="53"/>
      <c r="O29" s="53"/>
      <c r="P29" s="56"/>
      <c r="Q29" s="56"/>
      <c r="R29" s="56"/>
      <c r="S29" s="56"/>
      <c r="T29" s="53"/>
    </row>
    <row r="30">
      <c r="A30" s="53"/>
      <c r="B30" s="76" t="s">
        <v>25</v>
      </c>
      <c r="C30" s="77" t="s">
        <v>27</v>
      </c>
      <c r="D30" s="78">
        <v>910000.0</v>
      </c>
      <c r="E30" s="78">
        <v>919008.4578238048</v>
      </c>
      <c r="F30" s="78">
        <v>9008.457823804813</v>
      </c>
      <c r="G30" s="84">
        <v>0.00989940420198331</v>
      </c>
      <c r="H30" s="53"/>
      <c r="I30" s="53"/>
      <c r="J30" s="56"/>
      <c r="K30" s="56"/>
      <c r="L30" s="56"/>
      <c r="M30" s="56"/>
      <c r="N30" s="53"/>
      <c r="O30" s="53"/>
      <c r="P30" s="56"/>
      <c r="Q30" s="56"/>
      <c r="R30" s="56"/>
      <c r="S30" s="56"/>
      <c r="T30" s="53"/>
    </row>
    <row r="31">
      <c r="A31" s="53"/>
      <c r="B31" s="76" t="s">
        <v>25</v>
      </c>
      <c r="C31" s="77" t="s">
        <v>28</v>
      </c>
      <c r="D31" s="78">
        <v>244500.0</v>
      </c>
      <c r="E31" s="78">
        <v>248409.5928926877</v>
      </c>
      <c r="F31" s="78">
        <v>3909.5928926877095</v>
      </c>
      <c r="G31" s="84">
        <v>0.01599015498031783</v>
      </c>
      <c r="H31" s="53"/>
      <c r="I31" s="53"/>
      <c r="J31" s="56"/>
      <c r="K31" s="56"/>
      <c r="L31" s="56"/>
      <c r="M31" s="56"/>
      <c r="N31" s="53"/>
      <c r="O31" s="53"/>
      <c r="P31" s="56"/>
      <c r="Q31" s="56"/>
      <c r="R31" s="56"/>
      <c r="S31" s="56"/>
      <c r="T31" s="53"/>
    </row>
    <row r="32">
      <c r="A32" s="53"/>
      <c r="B32" s="76" t="s">
        <v>25</v>
      </c>
      <c r="C32" s="77" t="s">
        <v>29</v>
      </c>
      <c r="D32" s="78">
        <v>61900.0</v>
      </c>
      <c r="E32" s="78">
        <v>64177.95611473016</v>
      </c>
      <c r="F32" s="78">
        <v>2277.9561147301574</v>
      </c>
      <c r="G32" s="84">
        <v>0.0368005834366746</v>
      </c>
      <c r="H32" s="53"/>
      <c r="I32" s="53"/>
      <c r="J32" s="56"/>
      <c r="K32" s="56"/>
      <c r="L32" s="56"/>
      <c r="M32" s="56"/>
      <c r="N32" s="53"/>
      <c r="O32" s="53"/>
      <c r="P32" s="56"/>
      <c r="Q32" s="56"/>
      <c r="R32" s="56"/>
      <c r="S32" s="56"/>
      <c r="T32" s="53"/>
    </row>
    <row r="33">
      <c r="A33" s="53"/>
      <c r="B33" s="76" t="s">
        <v>25</v>
      </c>
      <c r="C33" s="77" t="s">
        <v>30</v>
      </c>
      <c r="D33" s="78">
        <v>40000.0</v>
      </c>
      <c r="E33" s="78">
        <v>41426.01497692065</v>
      </c>
      <c r="F33" s="78">
        <v>1426.0149769206473</v>
      </c>
      <c r="G33" s="84">
        <v>0.03565037442301618</v>
      </c>
      <c r="H33" s="53"/>
      <c r="I33" s="53"/>
      <c r="J33" s="56"/>
      <c r="K33" s="56"/>
      <c r="L33" s="56"/>
      <c r="M33" s="56"/>
      <c r="N33" s="53"/>
      <c r="O33" s="53"/>
      <c r="P33" s="56"/>
      <c r="Q33" s="56"/>
      <c r="R33" s="56"/>
      <c r="S33" s="56"/>
      <c r="T33" s="53"/>
    </row>
    <row r="34">
      <c r="A34" s="53"/>
      <c r="B34" s="76" t="s">
        <v>31</v>
      </c>
      <c r="C34" s="77" t="s">
        <v>32</v>
      </c>
      <c r="D34" s="78">
        <v>57100.0</v>
      </c>
      <c r="E34" s="78">
        <v>66046.77128349384</v>
      </c>
      <c r="F34" s="78">
        <v>8946.771283493843</v>
      </c>
      <c r="G34" s="84">
        <v>0.15668601197011983</v>
      </c>
      <c r="H34" s="53"/>
      <c r="I34" s="53"/>
      <c r="J34" s="56"/>
      <c r="K34" s="56"/>
      <c r="L34" s="56"/>
      <c r="M34" s="56"/>
      <c r="N34" s="53"/>
      <c r="O34" s="53"/>
      <c r="P34" s="56"/>
      <c r="Q34" s="56"/>
      <c r="R34" s="56"/>
      <c r="S34" s="56"/>
      <c r="T34" s="53"/>
    </row>
    <row r="35">
      <c r="A35" s="53"/>
      <c r="B35" s="76" t="s">
        <v>31</v>
      </c>
      <c r="C35" s="77" t="s">
        <v>33</v>
      </c>
      <c r="D35" s="78">
        <v>23500.0</v>
      </c>
      <c r="E35" s="78">
        <v>26478.181707450352</v>
      </c>
      <c r="F35" s="78">
        <v>2978.1817074503524</v>
      </c>
      <c r="G35" s="84">
        <v>0.12673113648724904</v>
      </c>
      <c r="H35" s="53"/>
      <c r="I35" s="53"/>
      <c r="J35" s="56"/>
      <c r="K35" s="56"/>
      <c r="L35" s="56"/>
      <c r="M35" s="56"/>
      <c r="N35" s="53"/>
      <c r="O35" s="53"/>
      <c r="P35" s="56"/>
      <c r="Q35" s="56"/>
      <c r="R35" s="56"/>
      <c r="S35" s="56"/>
      <c r="T35" s="53"/>
    </row>
    <row r="36">
      <c r="A36" s="53"/>
      <c r="B36" s="76" t="s">
        <v>31</v>
      </c>
      <c r="C36" s="77" t="s">
        <v>36</v>
      </c>
      <c r="D36" s="78">
        <v>32200.0</v>
      </c>
      <c r="E36" s="78">
        <v>33419.28170668895</v>
      </c>
      <c r="F36" s="78">
        <v>1219.2817066889475</v>
      </c>
      <c r="G36" s="84">
        <v>0.037865891512079114</v>
      </c>
      <c r="H36" s="53"/>
      <c r="I36" s="53"/>
      <c r="J36" s="56"/>
      <c r="K36" s="56"/>
      <c r="L36" s="56"/>
      <c r="M36" s="56"/>
      <c r="N36" s="53"/>
      <c r="O36" s="53"/>
      <c r="P36" s="56"/>
      <c r="Q36" s="56"/>
      <c r="R36" s="56"/>
      <c r="S36" s="56"/>
      <c r="T36" s="53"/>
    </row>
    <row r="37">
      <c r="A37" s="53"/>
      <c r="B37" s="76" t="s">
        <v>31</v>
      </c>
      <c r="C37" s="77" t="s">
        <v>37</v>
      </c>
      <c r="D37" s="78">
        <v>16800.0</v>
      </c>
      <c r="E37" s="78">
        <v>18813.982180966606</v>
      </c>
      <c r="F37" s="78">
        <v>2013.9821809666064</v>
      </c>
      <c r="G37" s="84">
        <v>0.11987989172420276</v>
      </c>
      <c r="H37" s="53"/>
      <c r="I37" s="53"/>
      <c r="J37" s="56"/>
      <c r="K37" s="56"/>
      <c r="L37" s="56"/>
      <c r="M37" s="56"/>
      <c r="N37" s="53"/>
      <c r="O37" s="53"/>
      <c r="P37" s="56"/>
      <c r="Q37" s="56"/>
      <c r="R37" s="56"/>
      <c r="S37" s="56"/>
      <c r="T37" s="53"/>
    </row>
    <row r="38">
      <c r="A38" s="53"/>
      <c r="B38" s="76" t="s">
        <v>31</v>
      </c>
      <c r="C38" s="77" t="s">
        <v>39</v>
      </c>
      <c r="D38" s="78">
        <v>28100.0</v>
      </c>
      <c r="E38" s="78">
        <v>31080.40464583997</v>
      </c>
      <c r="F38" s="78">
        <v>2980.4046458399716</v>
      </c>
      <c r="G38" s="84">
        <v>0.10606422227188511</v>
      </c>
      <c r="H38" s="53"/>
      <c r="I38" s="53"/>
      <c r="J38" s="56"/>
      <c r="K38" s="56"/>
      <c r="L38" s="56"/>
      <c r="M38" s="56"/>
      <c r="N38" s="53"/>
      <c r="O38" s="53"/>
      <c r="P38" s="56"/>
      <c r="Q38" s="56"/>
      <c r="R38" s="56"/>
      <c r="S38" s="56"/>
      <c r="T38" s="53"/>
    </row>
    <row r="39">
      <c r="A39" s="53"/>
      <c r="B39" s="76"/>
      <c r="C39" s="77"/>
      <c r="D39" s="78"/>
      <c r="E39" s="78"/>
      <c r="F39" s="78"/>
      <c r="G39" s="86"/>
      <c r="H39" s="53"/>
      <c r="I39" s="53"/>
      <c r="J39" s="56"/>
      <c r="K39" s="56"/>
      <c r="L39" s="56"/>
      <c r="M39" s="56"/>
      <c r="N39" s="53"/>
      <c r="O39" s="53"/>
      <c r="P39" s="56"/>
      <c r="Q39" s="56"/>
      <c r="R39" s="56"/>
      <c r="S39" s="56"/>
      <c r="T39" s="53"/>
    </row>
    <row r="40">
      <c r="A40" s="53"/>
      <c r="B40" s="76"/>
      <c r="C40" s="87"/>
      <c r="D40" s="78"/>
      <c r="E40" s="78"/>
      <c r="F40" s="78"/>
      <c r="G40" s="86"/>
      <c r="H40" s="53"/>
      <c r="I40" s="53"/>
      <c r="J40" s="56"/>
      <c r="K40" s="56"/>
      <c r="L40" s="56"/>
      <c r="M40" s="56"/>
      <c r="N40" s="53"/>
      <c r="O40" s="53"/>
      <c r="P40" s="56"/>
      <c r="Q40" s="56"/>
      <c r="R40" s="56"/>
      <c r="S40" s="56"/>
      <c r="T40" s="53"/>
    </row>
    <row r="41">
      <c r="A41" s="53"/>
      <c r="B41" s="76"/>
      <c r="C41" s="87"/>
      <c r="D41" s="78"/>
      <c r="E41" s="78"/>
      <c r="F41" s="78"/>
      <c r="G41" s="86"/>
      <c r="H41" s="53"/>
      <c r="I41" s="53"/>
      <c r="J41" s="56"/>
      <c r="K41" s="56"/>
      <c r="L41" s="56"/>
      <c r="M41" s="56"/>
      <c r="N41" s="53"/>
      <c r="O41" s="53"/>
      <c r="P41" s="56"/>
      <c r="Q41" s="56"/>
      <c r="R41" s="56"/>
      <c r="S41" s="56"/>
      <c r="T41" s="53"/>
    </row>
    <row r="42">
      <c r="A42" s="53"/>
      <c r="B42" s="76"/>
      <c r="C42" s="87"/>
      <c r="D42" s="78"/>
      <c r="E42" s="78"/>
      <c r="F42" s="78"/>
      <c r="G42" s="86"/>
      <c r="H42" s="53"/>
      <c r="I42" s="53"/>
      <c r="J42" s="56"/>
      <c r="K42" s="56"/>
      <c r="L42" s="56"/>
      <c r="M42" s="56"/>
      <c r="N42" s="53"/>
      <c r="O42" s="53"/>
      <c r="P42" s="56"/>
      <c r="Q42" s="56"/>
      <c r="R42" s="56"/>
      <c r="S42" s="56"/>
      <c r="T42" s="53"/>
    </row>
    <row r="43">
      <c r="A43" s="53"/>
      <c r="B43" s="76"/>
      <c r="C43" s="87"/>
      <c r="D43" s="78"/>
      <c r="E43" s="78"/>
      <c r="F43" s="78"/>
      <c r="G43" s="86"/>
      <c r="H43" s="53"/>
      <c r="I43" s="53"/>
      <c r="J43" s="56"/>
      <c r="K43" s="56"/>
      <c r="L43" s="56"/>
      <c r="M43" s="56"/>
      <c r="N43" s="53"/>
      <c r="O43" s="53"/>
      <c r="P43" s="56"/>
      <c r="Q43" s="56"/>
      <c r="R43" s="56"/>
      <c r="S43" s="56"/>
      <c r="T43" s="53"/>
    </row>
    <row r="44">
      <c r="A44" s="53"/>
      <c r="B44" s="76"/>
      <c r="C44" s="87"/>
      <c r="D44" s="78"/>
      <c r="E44" s="78"/>
      <c r="F44" s="78"/>
      <c r="G44" s="86"/>
      <c r="H44" s="53"/>
      <c r="I44" s="53"/>
      <c r="J44" s="56"/>
      <c r="K44" s="56"/>
      <c r="L44" s="56"/>
      <c r="M44" s="56"/>
      <c r="N44" s="53"/>
      <c r="O44" s="53"/>
      <c r="P44" s="56"/>
      <c r="Q44" s="56"/>
      <c r="R44" s="56"/>
      <c r="S44" s="56"/>
      <c r="T44" s="53"/>
    </row>
    <row r="45">
      <c r="A45" s="53"/>
      <c r="B45" s="76"/>
      <c r="C45" s="87"/>
      <c r="D45" s="78"/>
      <c r="E45" s="78"/>
      <c r="F45" s="78"/>
      <c r="G45" s="86"/>
      <c r="H45" s="53"/>
      <c r="I45" s="53"/>
      <c r="J45" s="56"/>
      <c r="K45" s="56"/>
      <c r="L45" s="56"/>
      <c r="M45" s="56"/>
      <c r="N45" s="53"/>
      <c r="O45" s="53"/>
      <c r="P45" s="56"/>
      <c r="Q45" s="56"/>
      <c r="R45" s="56"/>
      <c r="S45" s="56"/>
      <c r="T45" s="53"/>
    </row>
    <row r="46">
      <c r="A46" s="53"/>
      <c r="B46" s="76"/>
      <c r="C46" s="87"/>
      <c r="D46" s="78"/>
      <c r="E46" s="78"/>
      <c r="F46" s="78"/>
      <c r="G46" s="86"/>
      <c r="H46" s="53"/>
      <c r="I46" s="53"/>
      <c r="J46" s="56"/>
      <c r="K46" s="56"/>
      <c r="L46" s="56"/>
      <c r="M46" s="56"/>
      <c r="N46" s="53"/>
      <c r="O46" s="53"/>
      <c r="P46" s="56"/>
      <c r="Q46" s="56"/>
      <c r="R46" s="56"/>
      <c r="S46" s="56"/>
      <c r="T46" s="53"/>
    </row>
    <row r="47">
      <c r="A47" s="53"/>
      <c r="B47" s="76"/>
      <c r="C47" s="87"/>
      <c r="D47" s="78"/>
      <c r="E47" s="78"/>
      <c r="F47" s="78"/>
      <c r="G47" s="86"/>
      <c r="H47" s="53"/>
      <c r="I47" s="53"/>
      <c r="J47" s="56"/>
      <c r="K47" s="56"/>
      <c r="L47" s="56"/>
      <c r="M47" s="56"/>
      <c r="N47" s="53"/>
      <c r="O47" s="53"/>
      <c r="P47" s="56"/>
      <c r="Q47" s="56"/>
      <c r="R47" s="56"/>
      <c r="S47" s="56"/>
      <c r="T47" s="53"/>
    </row>
    <row r="48">
      <c r="A48" s="53"/>
      <c r="B48" s="76"/>
      <c r="C48" s="87"/>
      <c r="D48" s="78"/>
      <c r="E48" s="78"/>
      <c r="F48" s="78"/>
      <c r="G48" s="86"/>
      <c r="H48" s="53"/>
      <c r="I48" s="53"/>
      <c r="J48" s="56"/>
      <c r="K48" s="56"/>
      <c r="L48" s="56"/>
      <c r="M48" s="56"/>
      <c r="N48" s="53"/>
      <c r="O48" s="53"/>
      <c r="P48" s="56"/>
      <c r="Q48" s="56"/>
      <c r="R48" s="56"/>
      <c r="S48" s="56"/>
      <c r="T48" s="53"/>
    </row>
    <row r="49">
      <c r="A49" s="53"/>
      <c r="B49" s="76"/>
      <c r="C49" s="87"/>
      <c r="D49" s="78"/>
      <c r="E49" s="78"/>
      <c r="F49" s="78"/>
      <c r="G49" s="86"/>
      <c r="H49" s="53"/>
      <c r="I49" s="53"/>
      <c r="J49" s="56"/>
      <c r="K49" s="56"/>
      <c r="L49" s="56"/>
      <c r="M49" s="56"/>
      <c r="N49" s="53"/>
      <c r="O49" s="53"/>
      <c r="P49" s="56"/>
      <c r="Q49" s="56"/>
      <c r="R49" s="56"/>
      <c r="S49" s="56"/>
      <c r="T49" s="53"/>
    </row>
    <row r="50">
      <c r="A50" s="53"/>
      <c r="B50" s="76"/>
      <c r="C50" s="87"/>
      <c r="D50" s="78"/>
      <c r="E50" s="78"/>
      <c r="F50" s="78"/>
      <c r="G50" s="86"/>
      <c r="H50" s="53"/>
      <c r="I50" s="53"/>
      <c r="J50" s="56"/>
      <c r="K50" s="56"/>
      <c r="L50" s="56"/>
      <c r="M50" s="56"/>
      <c r="N50" s="53"/>
      <c r="O50" s="53"/>
      <c r="P50" s="56"/>
      <c r="Q50" s="56"/>
      <c r="R50" s="56"/>
      <c r="S50" s="56"/>
      <c r="T50" s="53"/>
    </row>
    <row r="51">
      <c r="A51" s="53"/>
      <c r="B51" s="76"/>
      <c r="C51" s="87"/>
      <c r="D51" s="78"/>
      <c r="E51" s="78"/>
      <c r="F51" s="78"/>
      <c r="G51" s="86"/>
      <c r="H51" s="53"/>
      <c r="I51" s="53"/>
      <c r="J51" s="56"/>
      <c r="K51" s="56"/>
      <c r="L51" s="56"/>
      <c r="M51" s="56"/>
      <c r="N51" s="53"/>
      <c r="O51" s="53"/>
      <c r="P51" s="56"/>
      <c r="Q51" s="56"/>
      <c r="R51" s="56"/>
      <c r="S51" s="56"/>
      <c r="T51" s="53"/>
    </row>
    <row r="52">
      <c r="A52" s="53"/>
      <c r="B52" s="76"/>
      <c r="C52" s="87"/>
      <c r="D52" s="78"/>
      <c r="E52" s="78"/>
      <c r="F52" s="78"/>
      <c r="G52" s="86"/>
      <c r="H52" s="53"/>
      <c r="I52" s="53"/>
      <c r="J52" s="56"/>
      <c r="K52" s="56"/>
      <c r="L52" s="56"/>
      <c r="M52" s="56"/>
      <c r="N52" s="53"/>
      <c r="O52" s="53"/>
      <c r="P52" s="56"/>
      <c r="Q52" s="56"/>
      <c r="R52" s="56"/>
      <c r="S52" s="56"/>
      <c r="T52" s="53"/>
    </row>
    <row r="53">
      <c r="A53" s="53"/>
      <c r="B53" s="76"/>
      <c r="C53" s="87"/>
      <c r="D53" s="78"/>
      <c r="E53" s="78"/>
      <c r="F53" s="78"/>
      <c r="G53" s="86"/>
      <c r="H53" s="53"/>
      <c r="I53" s="53"/>
      <c r="J53" s="56"/>
      <c r="K53" s="56"/>
      <c r="L53" s="56"/>
      <c r="M53" s="56"/>
      <c r="N53" s="53"/>
      <c r="O53" s="53"/>
      <c r="P53" s="56"/>
      <c r="Q53" s="56"/>
      <c r="R53" s="56"/>
      <c r="S53" s="56"/>
      <c r="T53" s="53"/>
    </row>
    <row r="54">
      <c r="A54" s="53"/>
      <c r="B54" s="76"/>
      <c r="C54" s="87"/>
      <c r="D54" s="78"/>
      <c r="E54" s="78"/>
      <c r="F54" s="78"/>
      <c r="G54" s="86"/>
      <c r="H54" s="53"/>
      <c r="I54" s="53"/>
      <c r="J54" s="56"/>
      <c r="K54" s="56"/>
      <c r="L54" s="56"/>
      <c r="M54" s="56"/>
      <c r="N54" s="53"/>
      <c r="O54" s="53"/>
      <c r="P54" s="56"/>
      <c r="Q54" s="56"/>
      <c r="R54" s="56"/>
      <c r="S54" s="56"/>
      <c r="T54" s="53"/>
    </row>
    <row r="55">
      <c r="A55" s="53"/>
      <c r="B55" s="76"/>
      <c r="C55" s="87"/>
      <c r="D55" s="78"/>
      <c r="E55" s="78"/>
      <c r="F55" s="78"/>
      <c r="G55" s="86"/>
      <c r="H55" s="53"/>
      <c r="I55" s="53"/>
      <c r="J55" s="56"/>
      <c r="K55" s="56"/>
      <c r="L55" s="56"/>
      <c r="M55" s="56"/>
      <c r="N55" s="53"/>
      <c r="O55" s="53"/>
      <c r="P55" s="56"/>
      <c r="Q55" s="56"/>
      <c r="R55" s="56"/>
      <c r="S55" s="56"/>
      <c r="T55" s="53"/>
    </row>
    <row r="56">
      <c r="A56" s="53"/>
      <c r="B56" s="76"/>
      <c r="C56" s="87"/>
      <c r="D56" s="78"/>
      <c r="E56" s="78"/>
      <c r="F56" s="78"/>
      <c r="G56" s="86"/>
      <c r="H56" s="53"/>
      <c r="I56" s="53"/>
      <c r="J56" s="56"/>
      <c r="K56" s="56"/>
      <c r="L56" s="56"/>
      <c r="M56" s="56"/>
      <c r="N56" s="53"/>
      <c r="O56" s="53"/>
      <c r="P56" s="56"/>
      <c r="Q56" s="56"/>
      <c r="R56" s="56"/>
      <c r="S56" s="56"/>
      <c r="T56" s="53"/>
    </row>
    <row r="57">
      <c r="A57" s="53"/>
      <c r="B57" s="76"/>
      <c r="C57" s="87"/>
      <c r="D57" s="78"/>
      <c r="E57" s="78"/>
      <c r="F57" s="78"/>
      <c r="G57" s="86"/>
      <c r="H57" s="53"/>
      <c r="I57" s="53"/>
      <c r="J57" s="56"/>
      <c r="K57" s="56"/>
      <c r="L57" s="56"/>
      <c r="M57" s="56"/>
      <c r="N57" s="53"/>
      <c r="O57" s="53"/>
      <c r="P57" s="56"/>
      <c r="Q57" s="56"/>
      <c r="R57" s="56"/>
      <c r="S57" s="56"/>
      <c r="T57" s="53"/>
    </row>
    <row r="58">
      <c r="A58" s="53"/>
      <c r="B58" s="76"/>
      <c r="C58" s="87"/>
      <c r="D58" s="78"/>
      <c r="E58" s="78"/>
      <c r="F58" s="78"/>
      <c r="G58" s="86"/>
      <c r="H58" s="53"/>
      <c r="I58" s="53"/>
      <c r="J58" s="56"/>
      <c r="K58" s="56"/>
      <c r="L58" s="56"/>
      <c r="M58" s="56"/>
      <c r="N58" s="53"/>
      <c r="O58" s="53"/>
      <c r="P58" s="56"/>
      <c r="Q58" s="56"/>
      <c r="R58" s="56"/>
      <c r="S58" s="56"/>
      <c r="T58" s="53"/>
    </row>
    <row r="59">
      <c r="A59" s="53"/>
      <c r="B59" s="76"/>
      <c r="C59" s="87"/>
      <c r="D59" s="78"/>
      <c r="E59" s="78"/>
      <c r="F59" s="78"/>
      <c r="G59" s="86"/>
      <c r="H59" s="53"/>
      <c r="I59" s="53"/>
      <c r="J59" s="56"/>
      <c r="K59" s="56"/>
      <c r="L59" s="56"/>
      <c r="M59" s="56"/>
      <c r="N59" s="53"/>
      <c r="O59" s="53"/>
      <c r="P59" s="56"/>
      <c r="Q59" s="56"/>
      <c r="R59" s="56"/>
      <c r="S59" s="56"/>
      <c r="T59" s="53"/>
    </row>
    <row r="60">
      <c r="A60" s="53"/>
      <c r="B60" s="76"/>
      <c r="C60" s="87"/>
      <c r="D60" s="78"/>
      <c r="E60" s="78"/>
      <c r="F60" s="78"/>
      <c r="G60" s="86"/>
      <c r="H60" s="53"/>
      <c r="I60" s="53"/>
      <c r="J60" s="56"/>
      <c r="K60" s="56"/>
      <c r="L60" s="56"/>
      <c r="M60" s="56"/>
      <c r="N60" s="53"/>
      <c r="O60" s="53"/>
      <c r="P60" s="56"/>
      <c r="Q60" s="56"/>
      <c r="R60" s="56"/>
      <c r="S60" s="56"/>
      <c r="T60" s="53"/>
    </row>
    <row r="61">
      <c r="A61" s="53"/>
      <c r="B61" s="76"/>
      <c r="C61" s="87"/>
      <c r="D61" s="78"/>
      <c r="E61" s="78"/>
      <c r="F61" s="78"/>
      <c r="G61" s="86"/>
      <c r="H61" s="53"/>
      <c r="I61" s="53"/>
      <c r="J61" s="56"/>
      <c r="K61" s="56"/>
      <c r="L61" s="56"/>
      <c r="M61" s="56"/>
      <c r="N61" s="53"/>
      <c r="O61" s="53"/>
      <c r="P61" s="56"/>
      <c r="Q61" s="56"/>
      <c r="R61" s="56"/>
      <c r="S61" s="56"/>
      <c r="T61" s="53"/>
    </row>
    <row r="62">
      <c r="A62" s="53"/>
      <c r="B62" s="76"/>
      <c r="C62" s="87"/>
      <c r="D62" s="78"/>
      <c r="E62" s="78"/>
      <c r="F62" s="78"/>
      <c r="G62" s="86"/>
      <c r="H62" s="53"/>
      <c r="I62" s="53"/>
      <c r="J62" s="56"/>
      <c r="K62" s="56"/>
      <c r="L62" s="56"/>
      <c r="M62" s="56"/>
      <c r="N62" s="53"/>
      <c r="O62" s="53"/>
      <c r="P62" s="56"/>
      <c r="Q62" s="56"/>
      <c r="R62" s="56"/>
      <c r="S62" s="56"/>
      <c r="T62" s="53"/>
    </row>
    <row r="63">
      <c r="A63" s="53"/>
      <c r="B63" s="76"/>
      <c r="C63" s="87"/>
      <c r="D63" s="78"/>
      <c r="E63" s="78"/>
      <c r="F63" s="78"/>
      <c r="G63" s="86"/>
      <c r="H63" s="53"/>
      <c r="I63" s="53"/>
      <c r="J63" s="56"/>
      <c r="K63" s="56"/>
      <c r="L63" s="56"/>
      <c r="M63" s="56"/>
      <c r="N63" s="53"/>
      <c r="O63" s="53"/>
      <c r="P63" s="56"/>
      <c r="Q63" s="56"/>
      <c r="R63" s="56"/>
      <c r="S63" s="56"/>
      <c r="T63" s="53"/>
    </row>
    <row r="64">
      <c r="A64" s="53"/>
      <c r="B64" s="76"/>
      <c r="C64" s="87"/>
      <c r="D64" s="78"/>
      <c r="E64" s="78"/>
      <c r="F64" s="78"/>
      <c r="G64" s="86"/>
      <c r="H64" s="53"/>
      <c r="I64" s="53"/>
      <c r="J64" s="56"/>
      <c r="K64" s="56"/>
      <c r="L64" s="56"/>
      <c r="M64" s="56"/>
      <c r="N64" s="53"/>
      <c r="O64" s="53"/>
      <c r="P64" s="56"/>
      <c r="Q64" s="56"/>
      <c r="R64" s="56"/>
      <c r="S64" s="56"/>
      <c r="T64" s="53"/>
    </row>
    <row r="65">
      <c r="A65" s="53"/>
      <c r="B65" s="76"/>
      <c r="C65" s="87"/>
      <c r="D65" s="78"/>
      <c r="E65" s="78"/>
      <c r="F65" s="78"/>
      <c r="G65" s="86"/>
      <c r="H65" s="53"/>
      <c r="I65" s="53"/>
      <c r="J65" s="56"/>
      <c r="K65" s="56"/>
      <c r="L65" s="56"/>
      <c r="M65" s="56"/>
      <c r="N65" s="53"/>
      <c r="O65" s="53"/>
      <c r="P65" s="56"/>
      <c r="Q65" s="56"/>
      <c r="R65" s="56"/>
      <c r="S65" s="56"/>
      <c r="T65" s="53"/>
    </row>
    <row r="66">
      <c r="A66" s="53"/>
      <c r="B66" s="76"/>
      <c r="C66" s="87"/>
      <c r="D66" s="78"/>
      <c r="E66" s="78"/>
      <c r="F66" s="78"/>
      <c r="G66" s="86"/>
      <c r="H66" s="53"/>
      <c r="I66" s="53"/>
      <c r="J66" s="56"/>
      <c r="K66" s="56"/>
      <c r="L66" s="56"/>
      <c r="M66" s="56"/>
      <c r="N66" s="53"/>
      <c r="O66" s="53"/>
      <c r="P66" s="56"/>
      <c r="Q66" s="56"/>
      <c r="R66" s="56"/>
      <c r="S66" s="56"/>
      <c r="T66" s="53"/>
    </row>
    <row r="67">
      <c r="A67" s="53"/>
      <c r="B67" s="76"/>
      <c r="C67" s="87"/>
      <c r="D67" s="78"/>
      <c r="E67" s="78"/>
      <c r="F67" s="78"/>
      <c r="G67" s="86"/>
      <c r="H67" s="53"/>
      <c r="I67" s="53"/>
      <c r="J67" s="56"/>
      <c r="K67" s="56"/>
      <c r="L67" s="56"/>
      <c r="M67" s="56"/>
      <c r="N67" s="53"/>
      <c r="O67" s="53"/>
      <c r="P67" s="56"/>
      <c r="Q67" s="56"/>
      <c r="R67" s="56"/>
      <c r="S67" s="56"/>
      <c r="T67" s="53"/>
    </row>
    <row r="68">
      <c r="A68" s="53"/>
      <c r="B68" s="76"/>
      <c r="C68" s="87"/>
      <c r="D68" s="78"/>
      <c r="E68" s="78"/>
      <c r="F68" s="78"/>
      <c r="G68" s="86"/>
      <c r="H68" s="53"/>
      <c r="I68" s="53"/>
      <c r="J68" s="56"/>
      <c r="K68" s="56"/>
      <c r="L68" s="56"/>
      <c r="M68" s="56"/>
      <c r="N68" s="53"/>
      <c r="O68" s="53"/>
      <c r="P68" s="56"/>
      <c r="Q68" s="56"/>
      <c r="R68" s="56"/>
      <c r="S68" s="56"/>
      <c r="T68" s="53"/>
    </row>
    <row r="69">
      <c r="A69" s="53"/>
      <c r="B69" s="76"/>
      <c r="C69" s="87"/>
      <c r="D69" s="78"/>
      <c r="E69" s="78"/>
      <c r="F69" s="78"/>
      <c r="G69" s="86"/>
      <c r="H69" s="53"/>
      <c r="I69" s="53"/>
      <c r="J69" s="56"/>
      <c r="K69" s="56"/>
      <c r="L69" s="56"/>
      <c r="M69" s="56"/>
      <c r="N69" s="53"/>
      <c r="O69" s="53"/>
      <c r="P69" s="56"/>
      <c r="Q69" s="56"/>
      <c r="R69" s="56"/>
      <c r="S69" s="56"/>
      <c r="T69" s="53"/>
    </row>
    <row r="70">
      <c r="A70" s="53"/>
      <c r="B70" s="76"/>
      <c r="C70" s="87"/>
      <c r="D70" s="78"/>
      <c r="E70" s="78"/>
      <c r="F70" s="78"/>
      <c r="G70" s="86"/>
      <c r="H70" s="53"/>
      <c r="I70" s="53"/>
      <c r="J70" s="56"/>
      <c r="K70" s="56"/>
      <c r="L70" s="56"/>
      <c r="M70" s="56"/>
      <c r="N70" s="53"/>
      <c r="O70" s="53"/>
      <c r="P70" s="56"/>
      <c r="Q70" s="56"/>
      <c r="R70" s="56"/>
      <c r="S70" s="56"/>
      <c r="T70" s="53"/>
    </row>
    <row r="71">
      <c r="A71" s="53"/>
      <c r="B71" s="76"/>
      <c r="C71" s="87"/>
      <c r="D71" s="78"/>
      <c r="E71" s="78"/>
      <c r="F71" s="78"/>
      <c r="G71" s="86"/>
      <c r="H71" s="53"/>
      <c r="I71" s="53"/>
      <c r="J71" s="56"/>
      <c r="K71" s="56"/>
      <c r="L71" s="56"/>
      <c r="M71" s="56"/>
      <c r="N71" s="53"/>
      <c r="O71" s="53"/>
      <c r="P71" s="56"/>
      <c r="Q71" s="56"/>
      <c r="R71" s="56"/>
      <c r="S71" s="56"/>
      <c r="T71" s="53"/>
    </row>
    <row r="72">
      <c r="A72" s="53"/>
      <c r="B72" s="76"/>
      <c r="C72" s="87"/>
      <c r="D72" s="78"/>
      <c r="E72" s="78"/>
      <c r="F72" s="78"/>
      <c r="G72" s="86"/>
      <c r="H72" s="53"/>
      <c r="I72" s="53"/>
      <c r="J72" s="56"/>
      <c r="K72" s="56"/>
      <c r="L72" s="56"/>
      <c r="M72" s="56"/>
      <c r="N72" s="53"/>
      <c r="O72" s="53"/>
      <c r="P72" s="56"/>
      <c r="Q72" s="56"/>
      <c r="R72" s="56"/>
      <c r="S72" s="56"/>
      <c r="T72" s="53"/>
    </row>
    <row r="73">
      <c r="A73" s="53"/>
      <c r="B73" s="76"/>
      <c r="C73" s="87"/>
      <c r="D73" s="78"/>
      <c r="E73" s="78"/>
      <c r="F73" s="78"/>
      <c r="G73" s="86"/>
      <c r="H73" s="53"/>
      <c r="I73" s="53"/>
      <c r="J73" s="56"/>
      <c r="K73" s="56"/>
      <c r="L73" s="56"/>
      <c r="M73" s="56"/>
      <c r="N73" s="53"/>
      <c r="O73" s="53"/>
      <c r="P73" s="56"/>
      <c r="Q73" s="56"/>
      <c r="R73" s="56"/>
      <c r="S73" s="56"/>
      <c r="T73" s="53"/>
    </row>
    <row r="74">
      <c r="A74" s="53"/>
      <c r="B74" s="76"/>
      <c r="C74" s="87"/>
      <c r="D74" s="78"/>
      <c r="E74" s="78"/>
      <c r="F74" s="78"/>
      <c r="G74" s="86"/>
      <c r="H74" s="53"/>
      <c r="I74" s="53"/>
      <c r="J74" s="56"/>
      <c r="K74" s="56"/>
      <c r="L74" s="56"/>
      <c r="M74" s="56"/>
      <c r="N74" s="53"/>
      <c r="O74" s="53"/>
      <c r="P74" s="56"/>
      <c r="Q74" s="56"/>
      <c r="R74" s="56"/>
      <c r="S74" s="56"/>
      <c r="T74" s="53"/>
    </row>
    <row r="75">
      <c r="A75" s="53"/>
      <c r="B75" s="76"/>
      <c r="C75" s="87"/>
      <c r="D75" s="78"/>
      <c r="E75" s="78"/>
      <c r="F75" s="78"/>
      <c r="G75" s="86"/>
      <c r="H75" s="53"/>
      <c r="I75" s="53"/>
      <c r="J75" s="56"/>
      <c r="K75" s="56"/>
      <c r="L75" s="56"/>
      <c r="M75" s="56"/>
      <c r="N75" s="53"/>
      <c r="O75" s="53"/>
      <c r="P75" s="56"/>
      <c r="Q75" s="56"/>
      <c r="R75" s="56"/>
      <c r="S75" s="56"/>
      <c r="T75" s="53"/>
    </row>
    <row r="76">
      <c r="A76" s="53"/>
      <c r="B76" s="76"/>
      <c r="C76" s="87"/>
      <c r="D76" s="78"/>
      <c r="E76" s="78"/>
      <c r="F76" s="78"/>
      <c r="G76" s="86"/>
      <c r="H76" s="53"/>
      <c r="I76" s="53"/>
      <c r="J76" s="56"/>
      <c r="K76" s="56"/>
      <c r="L76" s="56"/>
      <c r="M76" s="56"/>
      <c r="N76" s="53"/>
      <c r="O76" s="53"/>
      <c r="P76" s="56"/>
      <c r="Q76" s="56"/>
      <c r="R76" s="56"/>
      <c r="S76" s="56"/>
      <c r="T76" s="53"/>
    </row>
    <row r="77">
      <c r="A77" s="53"/>
      <c r="B77" s="76"/>
      <c r="C77" s="87"/>
      <c r="D77" s="78"/>
      <c r="E77" s="78"/>
      <c r="F77" s="78"/>
      <c r="G77" s="86"/>
      <c r="H77" s="53"/>
      <c r="I77" s="53"/>
      <c r="J77" s="56"/>
      <c r="K77" s="56"/>
      <c r="L77" s="56"/>
      <c r="M77" s="56"/>
      <c r="N77" s="53"/>
      <c r="O77" s="53"/>
      <c r="P77" s="56"/>
      <c r="Q77" s="56"/>
      <c r="R77" s="56"/>
      <c r="S77" s="56"/>
      <c r="T77" s="53"/>
    </row>
    <row r="78">
      <c r="A78" s="53"/>
      <c r="B78" s="76"/>
      <c r="C78" s="87"/>
      <c r="D78" s="78"/>
      <c r="E78" s="78"/>
      <c r="F78" s="78"/>
      <c r="G78" s="86"/>
      <c r="H78" s="53"/>
      <c r="I78" s="53"/>
      <c r="J78" s="56"/>
      <c r="K78" s="56"/>
      <c r="L78" s="56"/>
      <c r="M78" s="56"/>
      <c r="N78" s="53"/>
      <c r="O78" s="53"/>
      <c r="P78" s="56"/>
      <c r="Q78" s="56"/>
      <c r="R78" s="56"/>
      <c r="S78" s="56"/>
      <c r="T78" s="53"/>
    </row>
    <row r="79">
      <c r="A79" s="53"/>
      <c r="B79" s="76"/>
      <c r="C79" s="87"/>
      <c r="D79" s="78"/>
      <c r="E79" s="78"/>
      <c r="F79" s="78"/>
      <c r="G79" s="86"/>
      <c r="H79" s="53"/>
      <c r="I79" s="53"/>
      <c r="J79" s="56"/>
      <c r="K79" s="56"/>
      <c r="L79" s="56"/>
      <c r="M79" s="56"/>
      <c r="N79" s="53"/>
      <c r="O79" s="53"/>
      <c r="P79" s="56"/>
      <c r="Q79" s="56"/>
      <c r="R79" s="56"/>
      <c r="S79" s="56"/>
      <c r="T79" s="53"/>
    </row>
    <row r="80">
      <c r="A80" s="53"/>
      <c r="B80" s="76"/>
      <c r="C80" s="87"/>
      <c r="D80" s="78"/>
      <c r="E80" s="78"/>
      <c r="F80" s="78"/>
      <c r="G80" s="86"/>
      <c r="H80" s="53"/>
      <c r="I80" s="53"/>
      <c r="J80" s="56"/>
      <c r="K80" s="56"/>
      <c r="L80" s="56"/>
      <c r="M80" s="56"/>
      <c r="N80" s="53"/>
      <c r="O80" s="53"/>
      <c r="P80" s="56"/>
      <c r="Q80" s="56"/>
      <c r="R80" s="56"/>
      <c r="S80" s="56"/>
      <c r="T80" s="53"/>
    </row>
    <row r="81">
      <c r="A81" s="53"/>
      <c r="B81" s="76"/>
      <c r="C81" s="87"/>
      <c r="D81" s="78"/>
      <c r="E81" s="78"/>
      <c r="F81" s="78"/>
      <c r="G81" s="86"/>
      <c r="H81" s="53"/>
      <c r="I81" s="53"/>
      <c r="J81" s="56"/>
      <c r="K81" s="56"/>
      <c r="L81" s="56"/>
      <c r="M81" s="56"/>
      <c r="N81" s="53"/>
      <c r="O81" s="53"/>
      <c r="P81" s="56"/>
      <c r="Q81" s="56"/>
      <c r="R81" s="56"/>
      <c r="S81" s="56"/>
      <c r="T81" s="53"/>
    </row>
    <row r="82">
      <c r="A82" s="53"/>
      <c r="B82" s="76"/>
      <c r="C82" s="87"/>
      <c r="D82" s="78"/>
      <c r="E82" s="78"/>
      <c r="F82" s="78"/>
      <c r="G82" s="86"/>
      <c r="H82" s="53"/>
      <c r="I82" s="53"/>
      <c r="J82" s="56"/>
      <c r="K82" s="56"/>
      <c r="L82" s="56"/>
      <c r="M82" s="56"/>
      <c r="N82" s="53"/>
      <c r="O82" s="53"/>
      <c r="P82" s="56"/>
      <c r="Q82" s="56"/>
      <c r="R82" s="56"/>
      <c r="S82" s="56"/>
      <c r="T82" s="53"/>
    </row>
    <row r="83">
      <c r="A83" s="53"/>
      <c r="B83" s="76"/>
      <c r="C83" s="87"/>
      <c r="D83" s="78"/>
      <c r="E83" s="78"/>
      <c r="F83" s="78"/>
      <c r="G83" s="86"/>
      <c r="H83" s="53"/>
      <c r="I83" s="53"/>
      <c r="J83" s="56"/>
      <c r="K83" s="56"/>
      <c r="L83" s="56"/>
      <c r="M83" s="56"/>
      <c r="N83" s="53"/>
      <c r="O83" s="53"/>
      <c r="P83" s="56"/>
      <c r="Q83" s="56"/>
      <c r="R83" s="56"/>
      <c r="S83" s="56"/>
      <c r="T83" s="53"/>
    </row>
    <row r="84">
      <c r="A84" s="53"/>
      <c r="B84" s="76"/>
      <c r="C84" s="87"/>
      <c r="D84" s="78"/>
      <c r="E84" s="78"/>
      <c r="F84" s="78"/>
      <c r="G84" s="86"/>
      <c r="H84" s="53"/>
      <c r="I84" s="53"/>
      <c r="J84" s="56"/>
      <c r="K84" s="56"/>
      <c r="L84" s="56"/>
      <c r="M84" s="56"/>
      <c r="N84" s="53"/>
      <c r="O84" s="53"/>
      <c r="P84" s="56"/>
      <c r="Q84" s="56"/>
      <c r="R84" s="56"/>
      <c r="S84" s="56"/>
      <c r="T84" s="53"/>
    </row>
    <row r="85">
      <c r="A85" s="53"/>
      <c r="B85" s="76"/>
      <c r="C85" s="87"/>
      <c r="D85" s="78"/>
      <c r="E85" s="78"/>
      <c r="F85" s="78"/>
      <c r="G85" s="86"/>
      <c r="H85" s="53"/>
      <c r="I85" s="53"/>
      <c r="J85" s="56"/>
      <c r="K85" s="56"/>
      <c r="L85" s="56"/>
      <c r="M85" s="56"/>
      <c r="N85" s="53"/>
      <c r="O85" s="53"/>
      <c r="P85" s="56"/>
      <c r="Q85" s="56"/>
      <c r="R85" s="56"/>
      <c r="S85" s="56"/>
      <c r="T85" s="53"/>
    </row>
    <row r="86">
      <c r="A86" s="53"/>
      <c r="B86" s="76"/>
      <c r="C86" s="87"/>
      <c r="D86" s="78"/>
      <c r="E86" s="78"/>
      <c r="F86" s="78"/>
      <c r="G86" s="86"/>
      <c r="H86" s="53"/>
      <c r="I86" s="53"/>
      <c r="J86" s="56"/>
      <c r="K86" s="56"/>
      <c r="L86" s="56"/>
      <c r="M86" s="56"/>
      <c r="N86" s="53"/>
      <c r="O86" s="53"/>
      <c r="P86" s="56"/>
      <c r="Q86" s="56"/>
      <c r="R86" s="56"/>
      <c r="S86" s="56"/>
      <c r="T86" s="53"/>
    </row>
    <row r="87">
      <c r="A87" s="53"/>
      <c r="B87" s="76"/>
      <c r="C87" s="87"/>
      <c r="D87" s="78"/>
      <c r="E87" s="78"/>
      <c r="F87" s="78"/>
      <c r="G87" s="86"/>
      <c r="H87" s="53"/>
      <c r="I87" s="53"/>
      <c r="J87" s="56"/>
      <c r="K87" s="56"/>
      <c r="L87" s="56"/>
      <c r="M87" s="56"/>
      <c r="N87" s="53"/>
      <c r="O87" s="53"/>
      <c r="P87" s="56"/>
      <c r="Q87" s="56"/>
      <c r="R87" s="56"/>
      <c r="S87" s="56"/>
      <c r="T87" s="53"/>
    </row>
    <row r="88">
      <c r="A88" s="53"/>
      <c r="B88" s="76"/>
      <c r="C88" s="87"/>
      <c r="D88" s="78"/>
      <c r="E88" s="78"/>
      <c r="F88" s="78"/>
      <c r="G88" s="86"/>
      <c r="H88" s="53"/>
      <c r="I88" s="53"/>
      <c r="J88" s="56"/>
      <c r="K88" s="56"/>
      <c r="L88" s="56"/>
      <c r="M88" s="56"/>
      <c r="N88" s="53"/>
      <c r="O88" s="53"/>
      <c r="P88" s="56"/>
      <c r="Q88" s="56"/>
      <c r="R88" s="56"/>
      <c r="S88" s="56"/>
      <c r="T88" s="53"/>
    </row>
    <row r="89">
      <c r="A89" s="53"/>
      <c r="B89" s="76"/>
      <c r="C89" s="87"/>
      <c r="D89" s="78"/>
      <c r="E89" s="78"/>
      <c r="F89" s="78"/>
      <c r="G89" s="86"/>
      <c r="H89" s="53"/>
      <c r="I89" s="53"/>
      <c r="J89" s="56"/>
      <c r="K89" s="56"/>
      <c r="L89" s="56"/>
      <c r="M89" s="56"/>
      <c r="N89" s="53"/>
      <c r="O89" s="53"/>
      <c r="P89" s="56"/>
      <c r="Q89" s="56"/>
      <c r="R89" s="56"/>
      <c r="S89" s="56"/>
      <c r="T89" s="53"/>
    </row>
    <row r="90">
      <c r="A90" s="53"/>
      <c r="B90" s="76"/>
      <c r="C90" s="87"/>
      <c r="D90" s="78"/>
      <c r="E90" s="78"/>
      <c r="F90" s="78"/>
      <c r="G90" s="86"/>
      <c r="H90" s="53"/>
      <c r="I90" s="53"/>
      <c r="J90" s="56"/>
      <c r="K90" s="56"/>
      <c r="L90" s="56"/>
      <c r="M90" s="56"/>
      <c r="N90" s="53"/>
      <c r="O90" s="53"/>
      <c r="P90" s="56"/>
      <c r="Q90" s="56"/>
      <c r="R90" s="56"/>
      <c r="S90" s="56"/>
      <c r="T90" s="53"/>
    </row>
    <row r="91">
      <c r="A91" s="53"/>
      <c r="B91" s="76"/>
      <c r="C91" s="87"/>
      <c r="D91" s="78"/>
      <c r="E91" s="78"/>
      <c r="F91" s="78"/>
      <c r="G91" s="86"/>
      <c r="H91" s="53"/>
      <c r="I91" s="53"/>
      <c r="J91" s="56"/>
      <c r="K91" s="56"/>
      <c r="L91" s="56"/>
      <c r="M91" s="56"/>
      <c r="N91" s="53"/>
      <c r="O91" s="53"/>
      <c r="P91" s="56"/>
      <c r="Q91" s="56"/>
      <c r="R91" s="56"/>
      <c r="S91" s="56"/>
      <c r="T91" s="53"/>
    </row>
    <row r="92">
      <c r="A92" s="53"/>
      <c r="B92" s="76"/>
      <c r="C92" s="87"/>
      <c r="D92" s="78"/>
      <c r="E92" s="78"/>
      <c r="F92" s="78"/>
      <c r="G92" s="86"/>
      <c r="H92" s="53"/>
      <c r="I92" s="53"/>
      <c r="J92" s="56"/>
      <c r="K92" s="56"/>
      <c r="L92" s="56"/>
      <c r="M92" s="56"/>
      <c r="N92" s="53"/>
      <c r="O92" s="53"/>
      <c r="P92" s="56"/>
      <c r="Q92" s="56"/>
      <c r="R92" s="56"/>
      <c r="S92" s="56"/>
      <c r="T92" s="53"/>
    </row>
    <row r="93">
      <c r="A93" s="53"/>
      <c r="B93" s="76"/>
      <c r="C93" s="87"/>
      <c r="D93" s="78"/>
      <c r="E93" s="78"/>
      <c r="F93" s="78"/>
      <c r="G93" s="86"/>
      <c r="H93" s="53"/>
      <c r="I93" s="53"/>
      <c r="J93" s="56"/>
      <c r="K93" s="56"/>
      <c r="L93" s="56"/>
      <c r="M93" s="56"/>
      <c r="N93" s="53"/>
      <c r="O93" s="53"/>
      <c r="P93" s="56"/>
      <c r="Q93" s="56"/>
      <c r="R93" s="56"/>
      <c r="S93" s="56"/>
      <c r="T93" s="53"/>
    </row>
    <row r="94">
      <c r="A94" s="53"/>
      <c r="B94" s="76"/>
      <c r="C94" s="87"/>
      <c r="D94" s="78"/>
      <c r="E94" s="78"/>
      <c r="F94" s="78"/>
      <c r="G94" s="86"/>
      <c r="H94" s="53"/>
      <c r="I94" s="53"/>
      <c r="J94" s="56"/>
      <c r="K94" s="56"/>
      <c r="L94" s="56"/>
      <c r="M94" s="56"/>
      <c r="N94" s="53"/>
      <c r="O94" s="53"/>
      <c r="P94" s="56"/>
      <c r="Q94" s="56"/>
      <c r="R94" s="56"/>
      <c r="S94" s="56"/>
      <c r="T94" s="53"/>
    </row>
    <row r="95">
      <c r="A95" s="53"/>
      <c r="B95" s="76"/>
      <c r="C95" s="87"/>
      <c r="D95" s="78"/>
      <c r="E95" s="78"/>
      <c r="F95" s="78"/>
      <c r="G95" s="86"/>
      <c r="H95" s="53"/>
      <c r="I95" s="53"/>
      <c r="J95" s="56"/>
      <c r="K95" s="56"/>
      <c r="L95" s="56"/>
      <c r="M95" s="56"/>
      <c r="N95" s="53"/>
      <c r="O95" s="53"/>
      <c r="P95" s="56"/>
      <c r="Q95" s="56"/>
      <c r="R95" s="56"/>
      <c r="S95" s="56"/>
      <c r="T95" s="53"/>
    </row>
    <row r="96">
      <c r="A96" s="53"/>
      <c r="B96" s="76"/>
      <c r="C96" s="87"/>
      <c r="D96" s="78"/>
      <c r="E96" s="78"/>
      <c r="F96" s="78"/>
      <c r="G96" s="86"/>
      <c r="H96" s="53"/>
      <c r="I96" s="53"/>
      <c r="J96" s="56"/>
      <c r="K96" s="56"/>
      <c r="L96" s="56"/>
      <c r="M96" s="56"/>
      <c r="N96" s="53"/>
      <c r="O96" s="53"/>
      <c r="P96" s="56"/>
      <c r="Q96" s="56"/>
      <c r="R96" s="56"/>
      <c r="S96" s="56"/>
      <c r="T96" s="53"/>
    </row>
    <row r="97">
      <c r="A97" s="53"/>
      <c r="B97" s="76"/>
      <c r="C97" s="87"/>
      <c r="D97" s="78"/>
      <c r="E97" s="78"/>
      <c r="F97" s="78"/>
      <c r="G97" s="86"/>
      <c r="H97" s="53"/>
      <c r="I97" s="53"/>
      <c r="J97" s="56"/>
      <c r="K97" s="56"/>
      <c r="L97" s="56"/>
      <c r="M97" s="56"/>
      <c r="N97" s="53"/>
      <c r="O97" s="53"/>
      <c r="P97" s="56"/>
      <c r="Q97" s="56"/>
      <c r="R97" s="56"/>
      <c r="S97" s="56"/>
      <c r="T97" s="53"/>
    </row>
    <row r="98">
      <c r="A98" s="53"/>
      <c r="B98" s="76"/>
      <c r="C98" s="87"/>
      <c r="D98" s="78"/>
      <c r="E98" s="78"/>
      <c r="F98" s="78"/>
      <c r="G98" s="86"/>
      <c r="H98" s="53"/>
      <c r="I98" s="53"/>
      <c r="J98" s="56"/>
      <c r="K98" s="56"/>
      <c r="L98" s="56"/>
      <c r="M98" s="56"/>
      <c r="N98" s="53"/>
      <c r="O98" s="53"/>
      <c r="P98" s="56"/>
      <c r="Q98" s="56"/>
      <c r="R98" s="56"/>
      <c r="S98" s="56"/>
      <c r="T98" s="53"/>
    </row>
    <row r="99">
      <c r="A99" s="53"/>
      <c r="B99" s="76"/>
      <c r="C99" s="87"/>
      <c r="D99" s="78"/>
      <c r="E99" s="78"/>
      <c r="F99" s="78"/>
      <c r="G99" s="86"/>
      <c r="H99" s="53"/>
      <c r="I99" s="53"/>
      <c r="J99" s="56"/>
      <c r="K99" s="56"/>
      <c r="L99" s="56"/>
      <c r="M99" s="56"/>
      <c r="N99" s="53"/>
      <c r="O99" s="53"/>
      <c r="P99" s="56"/>
      <c r="Q99" s="56"/>
      <c r="R99" s="56"/>
      <c r="S99" s="56"/>
      <c r="T99" s="53"/>
    </row>
    <row r="100">
      <c r="A100" s="53"/>
      <c r="B100" s="76"/>
      <c r="C100" s="87"/>
      <c r="D100" s="78"/>
      <c r="E100" s="78"/>
      <c r="F100" s="78"/>
      <c r="G100" s="86"/>
      <c r="H100" s="53"/>
      <c r="I100" s="53"/>
      <c r="J100" s="56"/>
      <c r="K100" s="56"/>
      <c r="L100" s="56"/>
      <c r="M100" s="56"/>
      <c r="N100" s="53"/>
      <c r="O100" s="53"/>
      <c r="P100" s="56"/>
      <c r="Q100" s="56"/>
      <c r="R100" s="56"/>
      <c r="S100" s="56"/>
      <c r="T100" s="53"/>
    </row>
    <row r="101">
      <c r="A101" s="53"/>
      <c r="B101" s="76"/>
      <c r="C101" s="87"/>
      <c r="D101" s="78"/>
      <c r="E101" s="78"/>
      <c r="F101" s="78"/>
      <c r="G101" s="86"/>
      <c r="H101" s="53"/>
      <c r="I101" s="53"/>
      <c r="J101" s="56"/>
      <c r="K101" s="56"/>
      <c r="L101" s="56"/>
      <c r="M101" s="56"/>
      <c r="N101" s="53"/>
      <c r="O101" s="53"/>
      <c r="P101" s="56"/>
      <c r="Q101" s="56"/>
      <c r="R101" s="56"/>
      <c r="S101" s="56"/>
      <c r="T101" s="53"/>
    </row>
    <row r="102">
      <c r="A102" s="53"/>
      <c r="B102" s="76"/>
      <c r="C102" s="87"/>
      <c r="D102" s="78"/>
      <c r="E102" s="78"/>
      <c r="F102" s="78"/>
      <c r="G102" s="86"/>
      <c r="H102" s="53"/>
      <c r="I102" s="53"/>
      <c r="J102" s="56"/>
      <c r="K102" s="56"/>
      <c r="L102" s="56"/>
      <c r="M102" s="56"/>
      <c r="N102" s="53"/>
      <c r="O102" s="53"/>
      <c r="P102" s="56"/>
      <c r="Q102" s="56"/>
      <c r="R102" s="56"/>
      <c r="S102" s="56"/>
      <c r="T102" s="53"/>
    </row>
    <row r="103">
      <c r="A103" s="53"/>
      <c r="B103" s="76"/>
      <c r="C103" s="87"/>
      <c r="D103" s="78"/>
      <c r="E103" s="78"/>
      <c r="F103" s="78"/>
      <c r="G103" s="86"/>
      <c r="H103" s="53"/>
      <c r="I103" s="53"/>
      <c r="J103" s="56"/>
      <c r="K103" s="56"/>
      <c r="L103" s="56"/>
      <c r="M103" s="56"/>
      <c r="N103" s="53"/>
      <c r="O103" s="53"/>
      <c r="P103" s="56"/>
      <c r="Q103" s="56"/>
      <c r="R103" s="56"/>
      <c r="S103" s="56"/>
      <c r="T103" s="53"/>
    </row>
    <row r="104">
      <c r="A104" s="53"/>
      <c r="B104" s="76"/>
      <c r="C104" s="87"/>
      <c r="D104" s="78"/>
      <c r="E104" s="78"/>
      <c r="F104" s="78"/>
      <c r="G104" s="86"/>
      <c r="H104" s="53"/>
      <c r="I104" s="53"/>
      <c r="J104" s="56"/>
      <c r="K104" s="56"/>
      <c r="L104" s="56"/>
      <c r="M104" s="56"/>
      <c r="N104" s="53"/>
      <c r="O104" s="53"/>
      <c r="P104" s="56"/>
      <c r="Q104" s="56"/>
      <c r="R104" s="56"/>
      <c r="S104" s="56"/>
      <c r="T104" s="53"/>
    </row>
    <row r="105">
      <c r="A105" s="53"/>
      <c r="B105" s="76"/>
      <c r="C105" s="87"/>
      <c r="D105" s="78"/>
      <c r="E105" s="78"/>
      <c r="F105" s="78"/>
      <c r="G105" s="86"/>
      <c r="H105" s="53"/>
      <c r="I105" s="53"/>
      <c r="J105" s="56"/>
      <c r="K105" s="56"/>
      <c r="L105" s="56"/>
      <c r="M105" s="56"/>
      <c r="N105" s="53"/>
      <c r="O105" s="53"/>
      <c r="P105" s="56"/>
      <c r="Q105" s="56"/>
      <c r="R105" s="56"/>
      <c r="S105" s="56"/>
      <c r="T105" s="53"/>
    </row>
    <row r="106">
      <c r="A106" s="53"/>
      <c r="B106" s="76"/>
      <c r="C106" s="87"/>
      <c r="D106" s="78"/>
      <c r="E106" s="78"/>
      <c r="F106" s="78"/>
      <c r="G106" s="86"/>
      <c r="H106" s="53"/>
      <c r="I106" s="53"/>
      <c r="J106" s="56"/>
      <c r="K106" s="56"/>
      <c r="L106" s="56"/>
      <c r="M106" s="56"/>
      <c r="N106" s="53"/>
      <c r="O106" s="53"/>
      <c r="P106" s="56"/>
      <c r="Q106" s="56"/>
      <c r="R106" s="56"/>
      <c r="S106" s="56"/>
      <c r="T106" s="53"/>
    </row>
    <row r="107">
      <c r="A107" s="53"/>
      <c r="B107" s="76"/>
      <c r="C107" s="87"/>
      <c r="D107" s="78"/>
      <c r="E107" s="78"/>
      <c r="F107" s="78"/>
      <c r="G107" s="86"/>
      <c r="H107" s="53"/>
      <c r="I107" s="53"/>
      <c r="J107" s="56"/>
      <c r="K107" s="56"/>
      <c r="L107" s="56"/>
      <c r="M107" s="56"/>
      <c r="N107" s="53"/>
      <c r="O107" s="53"/>
      <c r="P107" s="56"/>
      <c r="Q107" s="56"/>
      <c r="R107" s="56"/>
      <c r="S107" s="56"/>
      <c r="T107" s="53"/>
    </row>
    <row r="108">
      <c r="A108" s="53"/>
      <c r="B108" s="76"/>
      <c r="C108" s="87"/>
      <c r="D108" s="78"/>
      <c r="E108" s="78"/>
      <c r="F108" s="78"/>
      <c r="G108" s="86"/>
      <c r="H108" s="53"/>
      <c r="I108" s="53"/>
      <c r="J108" s="56"/>
      <c r="K108" s="56"/>
      <c r="L108" s="56"/>
      <c r="M108" s="56"/>
      <c r="N108" s="53"/>
      <c r="O108" s="53"/>
      <c r="P108" s="56"/>
      <c r="Q108" s="56"/>
      <c r="R108" s="56"/>
      <c r="S108" s="56"/>
      <c r="T108" s="53"/>
    </row>
    <row r="109">
      <c r="A109" s="53"/>
      <c r="B109" s="76"/>
      <c r="C109" s="87"/>
      <c r="D109" s="78"/>
      <c r="E109" s="78"/>
      <c r="F109" s="78"/>
      <c r="G109" s="86"/>
      <c r="H109" s="53"/>
      <c r="I109" s="53"/>
      <c r="J109" s="56"/>
      <c r="K109" s="56"/>
      <c r="L109" s="56"/>
      <c r="M109" s="56"/>
      <c r="N109" s="53"/>
      <c r="O109" s="53"/>
      <c r="P109" s="56"/>
      <c r="Q109" s="56"/>
      <c r="R109" s="56"/>
      <c r="S109" s="56"/>
      <c r="T109" s="53"/>
    </row>
    <row r="110">
      <c r="A110" s="53"/>
      <c r="B110" s="76"/>
      <c r="C110" s="87"/>
      <c r="D110" s="78"/>
      <c r="E110" s="78"/>
      <c r="F110" s="78"/>
      <c r="G110" s="86"/>
      <c r="H110" s="53"/>
      <c r="I110" s="53"/>
      <c r="J110" s="56"/>
      <c r="K110" s="56"/>
      <c r="L110" s="56"/>
      <c r="M110" s="56"/>
      <c r="N110" s="53"/>
      <c r="O110" s="53"/>
      <c r="P110" s="56"/>
      <c r="Q110" s="56"/>
      <c r="R110" s="56"/>
      <c r="S110" s="56"/>
      <c r="T110" s="53"/>
    </row>
    <row r="111">
      <c r="A111" s="53"/>
      <c r="B111" s="76"/>
      <c r="C111" s="87"/>
      <c r="D111" s="78"/>
      <c r="E111" s="78"/>
      <c r="F111" s="78"/>
      <c r="G111" s="86"/>
      <c r="H111" s="53"/>
      <c r="I111" s="53"/>
      <c r="J111" s="56"/>
      <c r="K111" s="56"/>
      <c r="L111" s="56"/>
      <c r="M111" s="56"/>
      <c r="N111" s="53"/>
      <c r="O111" s="53"/>
      <c r="P111" s="56"/>
      <c r="Q111" s="56"/>
      <c r="R111" s="56"/>
      <c r="S111" s="56"/>
      <c r="T111" s="53"/>
    </row>
    <row r="112">
      <c r="A112" s="53"/>
      <c r="B112" s="76"/>
      <c r="C112" s="87"/>
      <c r="D112" s="78"/>
      <c r="E112" s="78"/>
      <c r="F112" s="78"/>
      <c r="G112" s="86"/>
      <c r="H112" s="53"/>
      <c r="I112" s="53"/>
      <c r="J112" s="56"/>
      <c r="K112" s="56"/>
      <c r="L112" s="56"/>
      <c r="M112" s="56"/>
      <c r="N112" s="53"/>
      <c r="O112" s="53"/>
      <c r="P112" s="56"/>
      <c r="Q112" s="56"/>
      <c r="R112" s="56"/>
      <c r="S112" s="56"/>
      <c r="T112" s="53"/>
    </row>
    <row r="113">
      <c r="A113" s="53"/>
      <c r="B113" s="76"/>
      <c r="C113" s="87"/>
      <c r="D113" s="78"/>
      <c r="E113" s="78"/>
      <c r="F113" s="78"/>
      <c r="G113" s="86"/>
      <c r="H113" s="53"/>
      <c r="I113" s="53"/>
      <c r="J113" s="56"/>
      <c r="K113" s="56"/>
      <c r="L113" s="56"/>
      <c r="M113" s="56"/>
      <c r="N113" s="53"/>
      <c r="O113" s="53"/>
      <c r="P113" s="56"/>
      <c r="Q113" s="56"/>
      <c r="R113" s="56"/>
      <c r="S113" s="56"/>
      <c r="T113" s="53"/>
    </row>
    <row r="114">
      <c r="A114" s="53"/>
      <c r="B114" s="76"/>
      <c r="C114" s="87"/>
      <c r="D114" s="78"/>
      <c r="E114" s="78"/>
      <c r="F114" s="78"/>
      <c r="G114" s="86"/>
      <c r="H114" s="53"/>
      <c r="I114" s="53"/>
      <c r="J114" s="56"/>
      <c r="K114" s="56"/>
      <c r="L114" s="56"/>
      <c r="M114" s="56"/>
      <c r="N114" s="53"/>
      <c r="O114" s="53"/>
      <c r="P114" s="56"/>
      <c r="Q114" s="56"/>
      <c r="R114" s="56"/>
      <c r="S114" s="56"/>
      <c r="T114" s="53"/>
    </row>
    <row r="115">
      <c r="A115" s="53"/>
      <c r="B115" s="76"/>
      <c r="C115" s="87"/>
      <c r="D115" s="78"/>
      <c r="E115" s="78"/>
      <c r="F115" s="78"/>
      <c r="G115" s="86"/>
      <c r="H115" s="53"/>
      <c r="I115" s="53"/>
      <c r="J115" s="56"/>
      <c r="K115" s="56"/>
      <c r="L115" s="56"/>
      <c r="M115" s="56"/>
      <c r="N115" s="53"/>
      <c r="O115" s="53"/>
      <c r="P115" s="56"/>
      <c r="Q115" s="56"/>
      <c r="R115" s="56"/>
      <c r="S115" s="56"/>
      <c r="T115" s="53"/>
    </row>
    <row r="116">
      <c r="A116" s="53"/>
      <c r="B116" s="76"/>
      <c r="C116" s="87"/>
      <c r="D116" s="78"/>
      <c r="E116" s="78"/>
      <c r="F116" s="78"/>
      <c r="G116" s="86"/>
      <c r="H116" s="53"/>
      <c r="I116" s="53"/>
      <c r="J116" s="56"/>
      <c r="K116" s="56"/>
      <c r="L116" s="56"/>
      <c r="M116" s="56"/>
      <c r="N116" s="53"/>
      <c r="O116" s="53"/>
      <c r="P116" s="56"/>
      <c r="Q116" s="56"/>
      <c r="R116" s="56"/>
      <c r="S116" s="56"/>
      <c r="T116" s="53"/>
    </row>
    <row r="117">
      <c r="A117" s="53"/>
      <c r="B117" s="76"/>
      <c r="C117" s="87"/>
      <c r="D117" s="78"/>
      <c r="E117" s="78"/>
      <c r="F117" s="78"/>
      <c r="G117" s="86"/>
      <c r="H117" s="53"/>
      <c r="I117" s="53"/>
      <c r="J117" s="56"/>
      <c r="K117" s="56"/>
      <c r="L117" s="56"/>
      <c r="M117" s="56"/>
      <c r="N117" s="53"/>
      <c r="O117" s="53"/>
      <c r="P117" s="56"/>
      <c r="Q117" s="56"/>
      <c r="R117" s="56"/>
      <c r="S117" s="56"/>
      <c r="T117" s="53"/>
    </row>
    <row r="118">
      <c r="A118" s="53"/>
      <c r="B118" s="76"/>
      <c r="C118" s="87"/>
      <c r="D118" s="78"/>
      <c r="E118" s="78"/>
      <c r="F118" s="78"/>
      <c r="G118" s="86"/>
      <c r="H118" s="53"/>
      <c r="I118" s="53"/>
      <c r="J118" s="56"/>
      <c r="K118" s="56"/>
      <c r="L118" s="56"/>
      <c r="M118" s="56"/>
      <c r="N118" s="53"/>
      <c r="O118" s="53"/>
      <c r="P118" s="56"/>
      <c r="Q118" s="56"/>
      <c r="R118" s="56"/>
      <c r="S118" s="56"/>
      <c r="T118" s="53"/>
    </row>
    <row r="119">
      <c r="A119" s="53"/>
      <c r="B119" s="76"/>
      <c r="C119" s="87"/>
      <c r="D119" s="78"/>
      <c r="E119" s="78"/>
      <c r="F119" s="78"/>
      <c r="G119" s="86"/>
      <c r="H119" s="53"/>
      <c r="I119" s="53"/>
      <c r="J119" s="56"/>
      <c r="K119" s="56"/>
      <c r="L119" s="56"/>
      <c r="M119" s="56"/>
      <c r="N119" s="53"/>
      <c r="O119" s="53"/>
      <c r="P119" s="56"/>
      <c r="Q119" s="56"/>
      <c r="R119" s="56"/>
      <c r="S119" s="56"/>
      <c r="T119" s="53"/>
    </row>
    <row r="120">
      <c r="A120" s="53"/>
      <c r="B120" s="76"/>
      <c r="C120" s="87"/>
      <c r="D120" s="78"/>
      <c r="E120" s="78"/>
      <c r="F120" s="78"/>
      <c r="G120" s="86"/>
      <c r="H120" s="53"/>
      <c r="I120" s="53"/>
      <c r="J120" s="56"/>
      <c r="K120" s="56"/>
      <c r="L120" s="56"/>
      <c r="M120" s="56"/>
      <c r="N120" s="53"/>
      <c r="O120" s="53"/>
      <c r="P120" s="56"/>
      <c r="Q120" s="56"/>
      <c r="R120" s="56"/>
      <c r="S120" s="56"/>
      <c r="T120" s="53"/>
    </row>
    <row r="121">
      <c r="A121" s="53"/>
      <c r="B121" s="76"/>
      <c r="C121" s="87"/>
      <c r="D121" s="78"/>
      <c r="E121" s="78"/>
      <c r="F121" s="78"/>
      <c r="G121" s="86"/>
      <c r="H121" s="53"/>
      <c r="I121" s="53"/>
      <c r="J121" s="56"/>
      <c r="K121" s="56"/>
      <c r="L121" s="56"/>
      <c r="M121" s="56"/>
      <c r="N121" s="53"/>
      <c r="O121" s="53"/>
      <c r="P121" s="56"/>
      <c r="Q121" s="56"/>
      <c r="R121" s="56"/>
      <c r="S121" s="56"/>
      <c r="T121" s="53"/>
    </row>
    <row r="122">
      <c r="A122" s="53"/>
      <c r="B122" s="76"/>
      <c r="C122" s="87"/>
      <c r="D122" s="78"/>
      <c r="E122" s="78"/>
      <c r="F122" s="78"/>
      <c r="G122" s="86"/>
      <c r="H122" s="53"/>
      <c r="I122" s="53"/>
      <c r="J122" s="56"/>
      <c r="K122" s="56"/>
      <c r="L122" s="56"/>
      <c r="M122" s="56"/>
      <c r="N122" s="53"/>
      <c r="O122" s="53"/>
      <c r="P122" s="56"/>
      <c r="Q122" s="56"/>
      <c r="R122" s="56"/>
      <c r="S122" s="56"/>
      <c r="T122" s="53"/>
    </row>
    <row r="123">
      <c r="A123" s="53"/>
      <c r="B123" s="76"/>
      <c r="C123" s="87"/>
      <c r="D123" s="78"/>
      <c r="E123" s="78"/>
      <c r="F123" s="78"/>
      <c r="G123" s="86"/>
      <c r="H123" s="53"/>
      <c r="I123" s="53"/>
      <c r="J123" s="56"/>
      <c r="K123" s="56"/>
      <c r="L123" s="56"/>
      <c r="M123" s="56"/>
      <c r="N123" s="53"/>
      <c r="O123" s="53"/>
      <c r="P123" s="56"/>
      <c r="Q123" s="56"/>
      <c r="R123" s="56"/>
      <c r="S123" s="56"/>
      <c r="T123" s="53"/>
    </row>
    <row r="124">
      <c r="A124" s="53"/>
      <c r="B124" s="76"/>
      <c r="C124" s="87"/>
      <c r="D124" s="78"/>
      <c r="E124" s="78"/>
      <c r="F124" s="78"/>
      <c r="G124" s="86"/>
      <c r="H124" s="53"/>
      <c r="I124" s="53"/>
      <c r="J124" s="56"/>
      <c r="K124" s="56"/>
      <c r="L124" s="56"/>
      <c r="M124" s="56"/>
      <c r="N124" s="53"/>
      <c r="O124" s="53"/>
      <c r="P124" s="56"/>
      <c r="Q124" s="56"/>
      <c r="R124" s="56"/>
      <c r="S124" s="56"/>
      <c r="T124" s="53"/>
    </row>
    <row r="125">
      <c r="A125" s="53"/>
      <c r="B125" s="76"/>
      <c r="C125" s="87"/>
      <c r="D125" s="78"/>
      <c r="E125" s="78"/>
      <c r="F125" s="78"/>
      <c r="G125" s="86"/>
      <c r="H125" s="53"/>
      <c r="I125" s="53"/>
      <c r="J125" s="56"/>
      <c r="K125" s="56"/>
      <c r="L125" s="56"/>
      <c r="M125" s="56"/>
      <c r="N125" s="53"/>
      <c r="O125" s="53"/>
      <c r="P125" s="56"/>
      <c r="Q125" s="56"/>
      <c r="R125" s="56"/>
      <c r="S125" s="56"/>
      <c r="T125" s="53"/>
    </row>
    <row r="126">
      <c r="A126" s="53"/>
      <c r="B126" s="76"/>
      <c r="C126" s="87"/>
      <c r="D126" s="78"/>
      <c r="E126" s="78"/>
      <c r="F126" s="78"/>
      <c r="G126" s="86"/>
      <c r="H126" s="53"/>
      <c r="I126" s="53"/>
      <c r="J126" s="56"/>
      <c r="K126" s="56"/>
      <c r="L126" s="56"/>
      <c r="M126" s="56"/>
      <c r="N126" s="53"/>
      <c r="O126" s="53"/>
      <c r="P126" s="56"/>
      <c r="Q126" s="56"/>
      <c r="R126" s="56"/>
      <c r="S126" s="56"/>
      <c r="T126" s="53"/>
    </row>
    <row r="127">
      <c r="A127" s="53"/>
      <c r="B127" s="76"/>
      <c r="C127" s="87"/>
      <c r="D127" s="78"/>
      <c r="E127" s="78"/>
      <c r="F127" s="78"/>
      <c r="G127" s="86"/>
      <c r="H127" s="53"/>
      <c r="I127" s="53"/>
      <c r="J127" s="56"/>
      <c r="K127" s="56"/>
      <c r="L127" s="56"/>
      <c r="M127" s="56"/>
      <c r="N127" s="53"/>
      <c r="O127" s="53"/>
      <c r="P127" s="56"/>
      <c r="Q127" s="56"/>
      <c r="R127" s="56"/>
      <c r="S127" s="56"/>
      <c r="T127" s="53"/>
    </row>
    <row r="128">
      <c r="A128" s="53"/>
      <c r="B128" s="76"/>
      <c r="C128" s="87"/>
      <c r="D128" s="78"/>
      <c r="E128" s="78"/>
      <c r="F128" s="78"/>
      <c r="G128" s="86"/>
      <c r="H128" s="53"/>
      <c r="I128" s="53"/>
      <c r="J128" s="56"/>
      <c r="K128" s="56"/>
      <c r="L128" s="56"/>
      <c r="M128" s="56"/>
      <c r="N128" s="53"/>
      <c r="O128" s="53"/>
      <c r="P128" s="56"/>
      <c r="Q128" s="56"/>
      <c r="R128" s="56"/>
      <c r="S128" s="56"/>
      <c r="T128" s="53"/>
    </row>
    <row r="129">
      <c r="A129" s="53"/>
      <c r="B129" s="76"/>
      <c r="C129" s="87"/>
      <c r="D129" s="78"/>
      <c r="E129" s="78"/>
      <c r="F129" s="78"/>
      <c r="G129" s="86"/>
      <c r="H129" s="53"/>
      <c r="I129" s="53"/>
      <c r="J129" s="56"/>
      <c r="K129" s="56"/>
      <c r="L129" s="56"/>
      <c r="M129" s="56"/>
      <c r="N129" s="53"/>
      <c r="O129" s="53"/>
      <c r="P129" s="56"/>
      <c r="Q129" s="56"/>
      <c r="R129" s="56"/>
      <c r="S129" s="56"/>
      <c r="T129" s="53"/>
    </row>
    <row r="130">
      <c r="A130" s="53"/>
      <c r="B130" s="76"/>
      <c r="C130" s="87"/>
      <c r="D130" s="78"/>
      <c r="E130" s="78"/>
      <c r="F130" s="78"/>
      <c r="G130" s="86"/>
      <c r="H130" s="53"/>
      <c r="I130" s="53"/>
      <c r="J130" s="56"/>
      <c r="K130" s="56"/>
      <c r="L130" s="56"/>
      <c r="M130" s="56"/>
      <c r="N130" s="53"/>
      <c r="O130" s="53"/>
      <c r="P130" s="56"/>
      <c r="Q130" s="56"/>
      <c r="R130" s="56"/>
      <c r="S130" s="56"/>
      <c r="T130" s="53"/>
    </row>
    <row r="131">
      <c r="A131" s="53"/>
      <c r="B131" s="76"/>
      <c r="C131" s="87"/>
      <c r="D131" s="78"/>
      <c r="E131" s="78"/>
      <c r="F131" s="78"/>
      <c r="G131" s="86"/>
      <c r="H131" s="53"/>
      <c r="I131" s="53"/>
      <c r="J131" s="56"/>
      <c r="K131" s="56"/>
      <c r="L131" s="56"/>
      <c r="M131" s="56"/>
      <c r="N131" s="53"/>
      <c r="O131" s="53"/>
      <c r="P131" s="56"/>
      <c r="Q131" s="56"/>
      <c r="R131" s="56"/>
      <c r="S131" s="56"/>
      <c r="T131" s="53"/>
    </row>
    <row r="132">
      <c r="A132" s="53"/>
      <c r="B132" s="76"/>
      <c r="C132" s="87"/>
      <c r="D132" s="78"/>
      <c r="E132" s="78"/>
      <c r="F132" s="78"/>
      <c r="G132" s="86"/>
      <c r="H132" s="53"/>
      <c r="I132" s="53"/>
      <c r="J132" s="56"/>
      <c r="K132" s="56"/>
      <c r="L132" s="56"/>
      <c r="M132" s="56"/>
      <c r="N132" s="53"/>
      <c r="O132" s="53"/>
      <c r="P132" s="56"/>
      <c r="Q132" s="56"/>
      <c r="R132" s="56"/>
      <c r="S132" s="56"/>
      <c r="T132" s="53"/>
    </row>
    <row r="133">
      <c r="A133" s="53"/>
      <c r="B133" s="76"/>
      <c r="C133" s="87"/>
      <c r="D133" s="78"/>
      <c r="E133" s="78"/>
      <c r="F133" s="78"/>
      <c r="G133" s="86"/>
      <c r="H133" s="53"/>
      <c r="I133" s="53"/>
      <c r="J133" s="56"/>
      <c r="K133" s="56"/>
      <c r="L133" s="56"/>
      <c r="M133" s="56"/>
      <c r="N133" s="53"/>
      <c r="O133" s="53"/>
      <c r="P133" s="56"/>
      <c r="Q133" s="56"/>
      <c r="R133" s="56"/>
      <c r="S133" s="56"/>
      <c r="T133" s="53"/>
    </row>
    <row r="134">
      <c r="A134" s="53"/>
      <c r="B134" s="76"/>
      <c r="C134" s="87"/>
      <c r="D134" s="78"/>
      <c r="E134" s="78"/>
      <c r="F134" s="78"/>
      <c r="G134" s="86"/>
      <c r="H134" s="53"/>
      <c r="I134" s="53"/>
      <c r="J134" s="56"/>
      <c r="K134" s="56"/>
      <c r="L134" s="56"/>
      <c r="M134" s="56"/>
      <c r="N134" s="53"/>
      <c r="O134" s="53"/>
      <c r="P134" s="56"/>
      <c r="Q134" s="56"/>
      <c r="R134" s="56"/>
      <c r="S134" s="56"/>
      <c r="T134" s="53"/>
    </row>
    <row r="135">
      <c r="A135" s="53"/>
      <c r="B135" s="76"/>
      <c r="C135" s="87"/>
      <c r="D135" s="78"/>
      <c r="E135" s="78"/>
      <c r="F135" s="78"/>
      <c r="G135" s="86"/>
      <c r="H135" s="53"/>
      <c r="I135" s="53"/>
      <c r="J135" s="56"/>
      <c r="K135" s="56"/>
      <c r="L135" s="56"/>
      <c r="M135" s="56"/>
      <c r="N135" s="53"/>
      <c r="O135" s="53"/>
      <c r="P135" s="56"/>
      <c r="Q135" s="56"/>
      <c r="R135" s="56"/>
      <c r="S135" s="56"/>
      <c r="T135" s="53"/>
    </row>
    <row r="136">
      <c r="A136" s="53"/>
      <c r="B136" s="76"/>
      <c r="C136" s="87"/>
      <c r="D136" s="78"/>
      <c r="E136" s="78"/>
      <c r="F136" s="78"/>
      <c r="G136" s="86"/>
      <c r="H136" s="53"/>
      <c r="I136" s="53"/>
      <c r="J136" s="56"/>
      <c r="K136" s="56"/>
      <c r="L136" s="56"/>
      <c r="M136" s="56"/>
      <c r="N136" s="53"/>
      <c r="O136" s="53"/>
      <c r="P136" s="56"/>
      <c r="Q136" s="56"/>
      <c r="R136" s="56"/>
      <c r="S136" s="56"/>
      <c r="T136" s="53"/>
    </row>
    <row r="137">
      <c r="A137" s="53"/>
      <c r="B137" s="54"/>
      <c r="C137" s="88"/>
      <c r="D137" s="89"/>
      <c r="E137" s="89"/>
      <c r="F137" s="89"/>
      <c r="G137" s="53"/>
      <c r="H137" s="53"/>
      <c r="I137" s="53"/>
      <c r="J137" s="56"/>
      <c r="K137" s="56"/>
      <c r="L137" s="56"/>
      <c r="M137" s="56"/>
      <c r="N137" s="53"/>
      <c r="O137" s="53"/>
      <c r="P137" s="56"/>
      <c r="Q137" s="56"/>
      <c r="R137" s="56"/>
      <c r="S137" s="56"/>
      <c r="T137" s="53"/>
    </row>
  </sheetData>
  <mergeCells count="6">
    <mergeCell ref="B3:E3"/>
    <mergeCell ref="B4:G4"/>
    <mergeCell ref="B22:B23"/>
    <mergeCell ref="C22:C23"/>
    <mergeCell ref="F22:F23"/>
    <mergeCell ref="G22:G23"/>
  </mergeCells>
  <conditionalFormatting sqref="B24:B137">
    <cfRule type="expression" dxfId="3" priority="1">
      <formula>countif($B$24:B24,B24)&gt;1</formula>
    </cfRule>
  </conditionalFormatting>
  <conditionalFormatting sqref="B24:G137">
    <cfRule type="containsBlanks" dxfId="4" priority="2">
      <formula>LEN(TRIM(B24))=0</formula>
    </cfRule>
  </conditionalFormatting>
  <hyperlinks>
    <hyperlink display="Input your categories, items and actual values for the trailing twelve months in the Actuals and Forecasts tab. The 12-month rolling forecasts are computed based on a linear regression model." location="'Actuals and Forecasts'!A1" ref="B4"/>
  </hyperlinks>
  <printOptions/>
  <pageMargins bottom="0.3" footer="0.0" header="0.0" left="0.0" right="1.0063091482649842" top="0.0"/>
  <pageSetup fitToWidth="0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20.63"/>
    <col customWidth="1" min="3" max="3" width="17.5"/>
    <col customWidth="1" hidden="1" min="28" max="28" width="10.5"/>
    <col customWidth="1" hidden="1" min="29" max="29" width="12.25"/>
    <col customWidth="1" min="30" max="30" width="2.38"/>
  </cols>
  <sheetData>
    <row r="1">
      <c r="P1" s="1"/>
      <c r="AB1" s="2"/>
      <c r="AC1" s="2"/>
    </row>
    <row r="2">
      <c r="B2" s="3" t="s">
        <v>0</v>
      </c>
      <c r="P2" s="4" t="s">
        <v>1</v>
      </c>
      <c r="AB2" s="2"/>
      <c r="AC2" s="2"/>
    </row>
    <row r="3">
      <c r="B3" s="5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 t="s">
        <v>3</v>
      </c>
      <c r="AB3" s="2"/>
      <c r="AC3" s="2"/>
    </row>
    <row r="4">
      <c r="B4" s="9" t="s">
        <v>4</v>
      </c>
      <c r="C4" s="11" t="s">
        <v>5</v>
      </c>
      <c r="D4" s="14">
        <f t="shared" ref="D4:N4" si="1">EOMONTH(E4,-2)+1</f>
        <v>45901</v>
      </c>
      <c r="E4" s="14">
        <f t="shared" si="1"/>
        <v>45931</v>
      </c>
      <c r="F4" s="14">
        <f t="shared" si="1"/>
        <v>45962</v>
      </c>
      <c r="G4" s="14">
        <f t="shared" si="1"/>
        <v>45992</v>
      </c>
      <c r="H4" s="14">
        <f t="shared" si="1"/>
        <v>46023</v>
      </c>
      <c r="I4" s="14">
        <f t="shared" si="1"/>
        <v>46054</v>
      </c>
      <c r="J4" s="14">
        <f t="shared" si="1"/>
        <v>46082</v>
      </c>
      <c r="K4" s="14">
        <f t="shared" si="1"/>
        <v>46113</v>
      </c>
      <c r="L4" s="14">
        <f t="shared" si="1"/>
        <v>46143</v>
      </c>
      <c r="M4" s="14">
        <f t="shared" si="1"/>
        <v>46174</v>
      </c>
      <c r="N4" s="14">
        <f t="shared" si="1"/>
        <v>46204</v>
      </c>
      <c r="O4" s="21">
        <f>EOMONTH(TODAY(),-1)+1</f>
        <v>46235</v>
      </c>
      <c r="P4" s="22">
        <f t="shared" ref="P4:AA4" si="2">EOMONTH(O4,)+1</f>
        <v>46266</v>
      </c>
      <c r="Q4" s="23">
        <f t="shared" si="2"/>
        <v>46296</v>
      </c>
      <c r="R4" s="23">
        <f t="shared" si="2"/>
        <v>46327</v>
      </c>
      <c r="S4" s="23">
        <f t="shared" si="2"/>
        <v>46357</v>
      </c>
      <c r="T4" s="23">
        <f t="shared" si="2"/>
        <v>46388</v>
      </c>
      <c r="U4" s="23">
        <f t="shared" si="2"/>
        <v>46419</v>
      </c>
      <c r="V4" s="23">
        <f t="shared" si="2"/>
        <v>46447</v>
      </c>
      <c r="W4" s="23">
        <f t="shared" si="2"/>
        <v>46478</v>
      </c>
      <c r="X4" s="23">
        <f t="shared" si="2"/>
        <v>46508</v>
      </c>
      <c r="Y4" s="23">
        <f t="shared" si="2"/>
        <v>46539</v>
      </c>
      <c r="Z4" s="23">
        <f t="shared" si="2"/>
        <v>46569</v>
      </c>
      <c r="AA4" s="27">
        <f t="shared" si="2"/>
        <v>46600</v>
      </c>
      <c r="AB4" s="38" t="str">
        <f t="array" ref="AB4:AB30">{"Total Actuals";BYROW(D5:O30,LAMBDA(x,IFERROR(LET(a,SUM(x),IF(a&lt;&gt;0,a,)),"")))}</f>
        <v>Total Actuals</v>
      </c>
      <c r="AC4" s="38" t="str">
        <f t="array" ref="AC4:AC30">{"Total Forecasts";BYROW(P5:AA30,LAMBDA(x,IFERROR(LET(a,SUM(x),IF(a&lt;&gt;0,a,)),"")))}</f>
        <v>Total Forecasts</v>
      </c>
    </row>
    <row r="5">
      <c r="B5" s="40" t="s">
        <v>18</v>
      </c>
      <c r="C5" s="41" t="s">
        <v>19</v>
      </c>
      <c r="D5" s="41">
        <v>48000.0</v>
      </c>
      <c r="E5" s="41">
        <v>47500.0</v>
      </c>
      <c r="F5" s="41">
        <v>49000.0</v>
      </c>
      <c r="G5" s="41">
        <v>50200.0</v>
      </c>
      <c r="H5" s="41">
        <v>48700.0</v>
      </c>
      <c r="I5" s="41">
        <v>49300.0</v>
      </c>
      <c r="J5" s="41">
        <v>48500.0</v>
      </c>
      <c r="K5" s="41">
        <v>50100.0</v>
      </c>
      <c r="L5" s="41">
        <v>48800.0</v>
      </c>
      <c r="M5" s="41">
        <v>49400.0</v>
      </c>
      <c r="N5" s="41">
        <v>49500.0</v>
      </c>
      <c r="O5" s="43">
        <v>48500.0</v>
      </c>
      <c r="P5" s="46">
        <f t="shared" ref="P5:AA5" si="3">IFERROR(FORECAST(P$4,$D5:$O5,$D$4:$O$4),"")</f>
        <v>49478.67591</v>
      </c>
      <c r="Q5" s="47">
        <f t="shared" si="3"/>
        <v>49557.44938</v>
      </c>
      <c r="R5" s="47">
        <f t="shared" si="3"/>
        <v>49638.84864</v>
      </c>
      <c r="S5" s="47">
        <f t="shared" si="3"/>
        <v>49717.62212</v>
      </c>
      <c r="T5" s="47">
        <f t="shared" si="3"/>
        <v>49799.02137</v>
      </c>
      <c r="U5" s="47">
        <f t="shared" si="3"/>
        <v>49880.42063</v>
      </c>
      <c r="V5" s="47">
        <f t="shared" si="3"/>
        <v>49953.94254</v>
      </c>
      <c r="W5" s="47">
        <f t="shared" si="3"/>
        <v>50035.3418</v>
      </c>
      <c r="X5" s="47">
        <f t="shared" si="3"/>
        <v>50114.11528</v>
      </c>
      <c r="Y5" s="47">
        <f t="shared" si="3"/>
        <v>50195.51454</v>
      </c>
      <c r="Z5" s="47">
        <f t="shared" si="3"/>
        <v>50274.28801</v>
      </c>
      <c r="AA5" s="50">
        <f t="shared" si="3"/>
        <v>50355.68727</v>
      </c>
      <c r="AB5" s="2">
        <v>587500.0</v>
      </c>
      <c r="AC5" s="2">
        <v>599000.9274931304</v>
      </c>
    </row>
    <row r="6">
      <c r="B6" s="40" t="s">
        <v>18</v>
      </c>
      <c r="C6" s="41" t="s">
        <v>20</v>
      </c>
      <c r="D6" s="41">
        <v>9000.0</v>
      </c>
      <c r="E6" s="41">
        <v>9300.0</v>
      </c>
      <c r="F6" s="41">
        <v>8500.0</v>
      </c>
      <c r="G6" s="41">
        <v>9000.0</v>
      </c>
      <c r="H6" s="41">
        <v>9200.0</v>
      </c>
      <c r="I6" s="41">
        <v>9500.0</v>
      </c>
      <c r="J6" s="41">
        <v>8700.0</v>
      </c>
      <c r="K6" s="41">
        <v>9100.0</v>
      </c>
      <c r="L6" s="41">
        <v>9400.0</v>
      </c>
      <c r="M6" s="41">
        <v>8800.0</v>
      </c>
      <c r="N6" s="41">
        <v>8900.0</v>
      </c>
      <c r="O6" s="43">
        <v>9100.0</v>
      </c>
      <c r="P6" s="46">
        <f t="shared" ref="P6:AA6" si="4">IFERROR(FORECAST(P$4,$D6:$O6,$D$4:$O$4),"")</f>
        <v>9054.012074</v>
      </c>
      <c r="Q6" s="47">
        <f t="shared" si="4"/>
        <v>9055.881017</v>
      </c>
      <c r="R6" s="47">
        <f t="shared" si="4"/>
        <v>9057.812258</v>
      </c>
      <c r="S6" s="47">
        <f t="shared" si="4"/>
        <v>9059.681201</v>
      </c>
      <c r="T6" s="47">
        <f t="shared" si="4"/>
        <v>9061.612442</v>
      </c>
      <c r="U6" s="47">
        <f t="shared" si="4"/>
        <v>9063.543684</v>
      </c>
      <c r="V6" s="47">
        <f t="shared" si="4"/>
        <v>9065.28803</v>
      </c>
      <c r="W6" s="47">
        <f t="shared" si="4"/>
        <v>9067.219272</v>
      </c>
      <c r="X6" s="47">
        <f t="shared" si="4"/>
        <v>9069.088215</v>
      </c>
      <c r="Y6" s="47">
        <f t="shared" si="4"/>
        <v>9071.019456</v>
      </c>
      <c r="Z6" s="47">
        <f t="shared" si="4"/>
        <v>9072.888399</v>
      </c>
      <c r="AA6" s="50">
        <f t="shared" si="4"/>
        <v>9074.81964</v>
      </c>
      <c r="AB6" s="2">
        <v>108500.0</v>
      </c>
      <c r="AC6" s="2">
        <v>108772.8656873219</v>
      </c>
    </row>
    <row r="7">
      <c r="B7" s="40" t="s">
        <v>18</v>
      </c>
      <c r="C7" s="41" t="s">
        <v>22</v>
      </c>
      <c r="D7" s="41">
        <v>5000.0</v>
      </c>
      <c r="E7" s="41">
        <v>5200.0</v>
      </c>
      <c r="F7" s="41">
        <v>4800.0</v>
      </c>
      <c r="G7" s="41">
        <v>5500.0</v>
      </c>
      <c r="H7" s="41">
        <v>4900.0</v>
      </c>
      <c r="I7" s="41">
        <v>5300.0</v>
      </c>
      <c r="J7" s="41">
        <v>4700.0</v>
      </c>
      <c r="K7" s="41">
        <v>5400.0</v>
      </c>
      <c r="L7" s="41">
        <v>5100.0</v>
      </c>
      <c r="M7" s="41">
        <v>5200.0</v>
      </c>
      <c r="N7" s="41">
        <v>5000.0</v>
      </c>
      <c r="O7" s="43">
        <v>5300.0</v>
      </c>
      <c r="P7" s="46">
        <f t="shared" ref="P7:AA7" si="5">IFERROR(FORECAST(P$4,$D7:$O7,$D$4:$O$4),"")</f>
        <v>5190.487676</v>
      </c>
      <c r="Q7" s="47">
        <f t="shared" si="5"/>
        <v>5201.663271</v>
      </c>
      <c r="R7" s="47">
        <f t="shared" si="5"/>
        <v>5213.211385</v>
      </c>
      <c r="S7" s="47">
        <f t="shared" si="5"/>
        <v>5224.386979</v>
      </c>
      <c r="T7" s="47">
        <f t="shared" si="5"/>
        <v>5235.935093</v>
      </c>
      <c r="U7" s="47">
        <f t="shared" si="5"/>
        <v>5247.483207</v>
      </c>
      <c r="V7" s="47">
        <f t="shared" si="5"/>
        <v>5257.913762</v>
      </c>
      <c r="W7" s="47">
        <f t="shared" si="5"/>
        <v>5269.461876</v>
      </c>
      <c r="X7" s="47">
        <f t="shared" si="5"/>
        <v>5280.637471</v>
      </c>
      <c r="Y7" s="47">
        <f t="shared" si="5"/>
        <v>5292.185585</v>
      </c>
      <c r="Z7" s="47">
        <f t="shared" si="5"/>
        <v>5303.361179</v>
      </c>
      <c r="AA7" s="50">
        <f t="shared" si="5"/>
        <v>5314.909293</v>
      </c>
      <c r="AB7" s="2">
        <v>61400.0</v>
      </c>
      <c r="AC7" s="2">
        <v>63031.63677795752</v>
      </c>
    </row>
    <row r="8">
      <c r="B8" s="40" t="s">
        <v>18</v>
      </c>
      <c r="C8" s="41" t="s">
        <v>23</v>
      </c>
      <c r="D8" s="41">
        <v>3200.0</v>
      </c>
      <c r="E8" s="41">
        <v>3000.0</v>
      </c>
      <c r="F8" s="41">
        <v>3100.0</v>
      </c>
      <c r="G8" s="41">
        <v>3400.0</v>
      </c>
      <c r="H8" s="41">
        <v>3200.0</v>
      </c>
      <c r="I8" s="41">
        <v>3300.0</v>
      </c>
      <c r="J8" s="41">
        <v>3100.0</v>
      </c>
      <c r="K8" s="41">
        <v>3300.0</v>
      </c>
      <c r="L8" s="41">
        <v>3400.0</v>
      </c>
      <c r="M8" s="41">
        <v>3200.0</v>
      </c>
      <c r="N8" s="41">
        <v>3300.0</v>
      </c>
      <c r="O8" s="43">
        <v>3300.0</v>
      </c>
      <c r="P8" s="46">
        <f t="shared" ref="P8:AA8" si="6">IFERROR(FORECAST(P$4,$D8:$O8,$D$4:$O$4),"")</f>
        <v>3338.734448</v>
      </c>
      <c r="Q8" s="47">
        <f t="shared" si="6"/>
        <v>3354.690882</v>
      </c>
      <c r="R8" s="47">
        <f t="shared" si="6"/>
        <v>3371.179198</v>
      </c>
      <c r="S8" s="47">
        <f t="shared" si="6"/>
        <v>3387.135632</v>
      </c>
      <c r="T8" s="47">
        <f t="shared" si="6"/>
        <v>3403.623948</v>
      </c>
      <c r="U8" s="47">
        <f t="shared" si="6"/>
        <v>3420.112263</v>
      </c>
      <c r="V8" s="47">
        <f t="shared" si="6"/>
        <v>3435.004936</v>
      </c>
      <c r="W8" s="47">
        <f t="shared" si="6"/>
        <v>3451.493251</v>
      </c>
      <c r="X8" s="47">
        <f t="shared" si="6"/>
        <v>3467.449686</v>
      </c>
      <c r="Y8" s="47">
        <f t="shared" si="6"/>
        <v>3483.938001</v>
      </c>
      <c r="Z8" s="47">
        <f t="shared" si="6"/>
        <v>3499.894436</v>
      </c>
      <c r="AA8" s="50">
        <f t="shared" si="6"/>
        <v>3516.382751</v>
      </c>
      <c r="AB8" s="2">
        <v>38800.0</v>
      </c>
      <c r="AC8" s="2">
        <v>41129.639432288095</v>
      </c>
    </row>
    <row r="9">
      <c r="B9" s="40" t="s">
        <v>18</v>
      </c>
      <c r="C9" s="41" t="s">
        <v>24</v>
      </c>
      <c r="D9" s="41">
        <v>2000.0</v>
      </c>
      <c r="E9" s="41">
        <v>2200.0</v>
      </c>
      <c r="F9" s="41">
        <v>1800.0</v>
      </c>
      <c r="G9" s="41">
        <v>2400.0</v>
      </c>
      <c r="H9" s="41">
        <v>2100.0</v>
      </c>
      <c r="I9" s="41">
        <v>2200.0</v>
      </c>
      <c r="J9" s="41">
        <v>2000.0</v>
      </c>
      <c r="K9" s="41">
        <v>2300.0</v>
      </c>
      <c r="L9" s="41">
        <v>2100.0</v>
      </c>
      <c r="M9" s="41">
        <v>2200.0</v>
      </c>
      <c r="N9" s="41">
        <v>2100.0</v>
      </c>
      <c r="O9" s="43">
        <v>2100.0</v>
      </c>
      <c r="P9" s="46">
        <f t="shared" ref="P9:AA9" si="7">IFERROR(FORECAST(P$4,$D9:$O9,$D$4:$O$4),"")</f>
        <v>2168.523218</v>
      </c>
      <c r="Q9" s="47">
        <f t="shared" si="7"/>
        <v>2175.112099</v>
      </c>
      <c r="R9" s="47">
        <f t="shared" si="7"/>
        <v>2181.920609</v>
      </c>
      <c r="S9" s="47">
        <f t="shared" si="7"/>
        <v>2188.509489</v>
      </c>
      <c r="T9" s="47">
        <f t="shared" si="7"/>
        <v>2195.317999</v>
      </c>
      <c r="U9" s="47">
        <f t="shared" si="7"/>
        <v>2202.12651</v>
      </c>
      <c r="V9" s="47">
        <f t="shared" si="7"/>
        <v>2208.276132</v>
      </c>
      <c r="W9" s="47">
        <f t="shared" si="7"/>
        <v>2215.084642</v>
      </c>
      <c r="X9" s="47">
        <f t="shared" si="7"/>
        <v>2221.673522</v>
      </c>
      <c r="Y9" s="47">
        <f t="shared" si="7"/>
        <v>2228.482033</v>
      </c>
      <c r="Z9" s="47">
        <f t="shared" si="7"/>
        <v>2235.070913</v>
      </c>
      <c r="AA9" s="50">
        <f t="shared" si="7"/>
        <v>2241.879423</v>
      </c>
      <c r="AB9" s="2">
        <v>25500.0</v>
      </c>
      <c r="AC9" s="2">
        <v>26461.976588094156</v>
      </c>
    </row>
    <row r="10">
      <c r="B10" s="40" t="s">
        <v>25</v>
      </c>
      <c r="C10" s="41" t="s">
        <v>26</v>
      </c>
      <c r="D10" s="41">
        <v>15500.0</v>
      </c>
      <c r="E10" s="41">
        <v>15000.0</v>
      </c>
      <c r="F10" s="41">
        <v>15500.0</v>
      </c>
      <c r="G10" s="41">
        <v>16200.0</v>
      </c>
      <c r="H10" s="41">
        <v>15800.0</v>
      </c>
      <c r="I10" s="41">
        <v>16200.0</v>
      </c>
      <c r="J10" s="41">
        <v>15400.0</v>
      </c>
      <c r="K10" s="41">
        <v>16000.0</v>
      </c>
      <c r="L10" s="41">
        <v>15700.0</v>
      </c>
      <c r="M10" s="41">
        <v>16100.0</v>
      </c>
      <c r="N10" s="41">
        <v>16300.0</v>
      </c>
      <c r="O10" s="43">
        <v>16000.0</v>
      </c>
      <c r="P10" s="46">
        <f t="shared" ref="P10:AA10" si="8">IFERROR(FORECAST(P$4,$D10:$O10,$D$4:$O$4),"")</f>
        <v>16237.7071</v>
      </c>
      <c r="Q10" s="47">
        <f t="shared" si="8"/>
        <v>16302.70902</v>
      </c>
      <c r="R10" s="47">
        <f t="shared" si="8"/>
        <v>16369.87766</v>
      </c>
      <c r="S10" s="47">
        <f t="shared" si="8"/>
        <v>16434.87958</v>
      </c>
      <c r="T10" s="47">
        <f t="shared" si="8"/>
        <v>16502.04822</v>
      </c>
      <c r="U10" s="47">
        <f t="shared" si="8"/>
        <v>16569.21687</v>
      </c>
      <c r="V10" s="47">
        <f t="shared" si="8"/>
        <v>16629.88533</v>
      </c>
      <c r="W10" s="47">
        <f t="shared" si="8"/>
        <v>16697.05397</v>
      </c>
      <c r="X10" s="47">
        <f t="shared" si="8"/>
        <v>16762.05589</v>
      </c>
      <c r="Y10" s="47">
        <f t="shared" si="8"/>
        <v>16829.22453</v>
      </c>
      <c r="Z10" s="47">
        <f t="shared" si="8"/>
        <v>16894.22645</v>
      </c>
      <c r="AA10" s="50">
        <f t="shared" si="8"/>
        <v>16961.3951</v>
      </c>
      <c r="AB10" s="2">
        <v>189700.0</v>
      </c>
      <c r="AC10" s="2">
        <v>199190.27971974807</v>
      </c>
    </row>
    <row r="11">
      <c r="B11" s="40" t="s">
        <v>25</v>
      </c>
      <c r="C11" s="41" t="s">
        <v>27</v>
      </c>
      <c r="D11" s="41">
        <v>75000.0</v>
      </c>
      <c r="E11" s="41">
        <v>75500.0</v>
      </c>
      <c r="F11" s="41">
        <v>76000.0</v>
      </c>
      <c r="G11" s="41">
        <v>75500.0</v>
      </c>
      <c r="H11" s="41">
        <v>75700.0</v>
      </c>
      <c r="I11" s="41">
        <v>76200.0</v>
      </c>
      <c r="J11" s="41">
        <v>75800.0</v>
      </c>
      <c r="K11" s="41">
        <v>76400.0</v>
      </c>
      <c r="L11" s="41">
        <v>75900.0</v>
      </c>
      <c r="M11" s="41">
        <v>76300.0</v>
      </c>
      <c r="N11" s="41">
        <v>76100.0</v>
      </c>
      <c r="O11" s="43">
        <v>75600.0</v>
      </c>
      <c r="P11" s="46">
        <f t="shared" ref="P11:AA11" si="9">IFERROR(FORECAST(P$4,$D11:$O11,$D$4:$O$4),"")</f>
        <v>76240.90778</v>
      </c>
      <c r="Q11" s="47">
        <f t="shared" si="9"/>
        <v>76302.60954</v>
      </c>
      <c r="R11" s="47">
        <f t="shared" si="9"/>
        <v>76366.36803</v>
      </c>
      <c r="S11" s="47">
        <f t="shared" si="9"/>
        <v>76428.0698</v>
      </c>
      <c r="T11" s="47">
        <f t="shared" si="9"/>
        <v>76491.82829</v>
      </c>
      <c r="U11" s="47">
        <f t="shared" si="9"/>
        <v>76555.58678</v>
      </c>
      <c r="V11" s="47">
        <f t="shared" si="9"/>
        <v>76613.1751</v>
      </c>
      <c r="W11" s="47">
        <f t="shared" si="9"/>
        <v>76676.93359</v>
      </c>
      <c r="X11" s="47">
        <f t="shared" si="9"/>
        <v>76738.63535</v>
      </c>
      <c r="Y11" s="47">
        <f t="shared" si="9"/>
        <v>76802.39385</v>
      </c>
      <c r="Z11" s="47">
        <f t="shared" si="9"/>
        <v>76864.09561</v>
      </c>
      <c r="AA11" s="50">
        <f t="shared" si="9"/>
        <v>76927.8541</v>
      </c>
      <c r="AB11" s="2">
        <v>910000.0</v>
      </c>
      <c r="AC11" s="2">
        <v>919008.4578238048</v>
      </c>
    </row>
    <row r="12">
      <c r="B12" s="40" t="s">
        <v>25</v>
      </c>
      <c r="C12" s="41" t="s">
        <v>28</v>
      </c>
      <c r="D12" s="41">
        <v>20000.0</v>
      </c>
      <c r="E12" s="41">
        <v>20300.0</v>
      </c>
      <c r="F12" s="41">
        <v>20100.0</v>
      </c>
      <c r="G12" s="41">
        <v>20500.0</v>
      </c>
      <c r="H12" s="41">
        <v>20400.0</v>
      </c>
      <c r="I12" s="41">
        <v>20700.0</v>
      </c>
      <c r="J12" s="41">
        <v>20200.0</v>
      </c>
      <c r="K12" s="41">
        <v>20600.0</v>
      </c>
      <c r="L12" s="41">
        <v>20500.0</v>
      </c>
      <c r="M12" s="41">
        <v>20400.0</v>
      </c>
      <c r="N12" s="41">
        <v>20300.0</v>
      </c>
      <c r="O12" s="43">
        <v>20500.0</v>
      </c>
      <c r="P12" s="46">
        <f t="shared" ref="P12:AA12" si="10">IFERROR(FORECAST(P$4,$D12:$O12,$D$4:$O$4),"")</f>
        <v>20551.88379</v>
      </c>
      <c r="Q12" s="47">
        <f t="shared" si="10"/>
        <v>20578.66182</v>
      </c>
      <c r="R12" s="47">
        <f t="shared" si="10"/>
        <v>20606.33246</v>
      </c>
      <c r="S12" s="47">
        <f t="shared" si="10"/>
        <v>20633.11049</v>
      </c>
      <c r="T12" s="47">
        <f t="shared" si="10"/>
        <v>20660.78112</v>
      </c>
      <c r="U12" s="47">
        <f t="shared" si="10"/>
        <v>20688.45176</v>
      </c>
      <c r="V12" s="47">
        <f t="shared" si="10"/>
        <v>20713.44459</v>
      </c>
      <c r="W12" s="47">
        <f t="shared" si="10"/>
        <v>20741.11522</v>
      </c>
      <c r="X12" s="47">
        <f t="shared" si="10"/>
        <v>20767.89326</v>
      </c>
      <c r="Y12" s="47">
        <f t="shared" si="10"/>
        <v>20795.56389</v>
      </c>
      <c r="Z12" s="47">
        <f t="shared" si="10"/>
        <v>20822.34193</v>
      </c>
      <c r="AA12" s="50">
        <f t="shared" si="10"/>
        <v>20850.01256</v>
      </c>
      <c r="AB12" s="2">
        <v>244500.0</v>
      </c>
      <c r="AC12" s="2">
        <v>248409.5928926877</v>
      </c>
    </row>
    <row r="13">
      <c r="B13" s="40" t="s">
        <v>25</v>
      </c>
      <c r="C13" s="41" t="s">
        <v>29</v>
      </c>
      <c r="D13" s="41">
        <v>5000.0</v>
      </c>
      <c r="E13" s="41">
        <v>5100.0</v>
      </c>
      <c r="F13" s="41">
        <v>5200.0</v>
      </c>
      <c r="G13" s="41">
        <v>5000.0</v>
      </c>
      <c r="H13" s="41">
        <v>5300.0</v>
      </c>
      <c r="I13" s="41">
        <v>5100.0</v>
      </c>
      <c r="J13" s="41">
        <v>5200.0</v>
      </c>
      <c r="K13" s="41">
        <v>5100.0</v>
      </c>
      <c r="L13" s="41">
        <v>5200.0</v>
      </c>
      <c r="M13" s="41">
        <v>5300.0</v>
      </c>
      <c r="N13" s="41">
        <v>5100.0</v>
      </c>
      <c r="O13" s="43">
        <v>5300.0</v>
      </c>
      <c r="P13" s="46">
        <f t="shared" ref="P13:AA13" si="11">IFERROR(FORECAST(P$4,$D13:$O13,$D$4:$O$4),"")</f>
        <v>5261.396112</v>
      </c>
      <c r="Q13" s="47">
        <f t="shared" si="11"/>
        <v>5276.998551</v>
      </c>
      <c r="R13" s="47">
        <f t="shared" si="11"/>
        <v>5293.121071</v>
      </c>
      <c r="S13" s="47">
        <f t="shared" si="11"/>
        <v>5308.723511</v>
      </c>
      <c r="T13" s="47">
        <f t="shared" si="11"/>
        <v>5324.846031</v>
      </c>
      <c r="U13" s="47">
        <f t="shared" si="11"/>
        <v>5340.968552</v>
      </c>
      <c r="V13" s="47">
        <f t="shared" si="11"/>
        <v>5355.530828</v>
      </c>
      <c r="W13" s="47">
        <f t="shared" si="11"/>
        <v>5371.653348</v>
      </c>
      <c r="X13" s="47">
        <f t="shared" si="11"/>
        <v>5387.255788</v>
      </c>
      <c r="Y13" s="47">
        <f t="shared" si="11"/>
        <v>5403.378308</v>
      </c>
      <c r="Z13" s="47">
        <f t="shared" si="11"/>
        <v>5418.980747</v>
      </c>
      <c r="AA13" s="50">
        <f t="shared" si="11"/>
        <v>5435.103268</v>
      </c>
      <c r="AB13" s="2">
        <v>61900.0</v>
      </c>
      <c r="AC13" s="2">
        <v>64177.95611473016</v>
      </c>
    </row>
    <row r="14">
      <c r="B14" s="40" t="s">
        <v>25</v>
      </c>
      <c r="C14" s="41" t="s">
        <v>30</v>
      </c>
      <c r="D14" s="41">
        <v>3200.0</v>
      </c>
      <c r="E14" s="41">
        <v>3300.0</v>
      </c>
      <c r="F14" s="41">
        <v>3400.0</v>
      </c>
      <c r="G14" s="41">
        <v>3200.0</v>
      </c>
      <c r="H14" s="41">
        <v>3300.0</v>
      </c>
      <c r="I14" s="41">
        <v>3500.0</v>
      </c>
      <c r="J14" s="41">
        <v>3400.0</v>
      </c>
      <c r="K14" s="41">
        <v>3300.0</v>
      </c>
      <c r="L14" s="41">
        <v>3200.0</v>
      </c>
      <c r="M14" s="41">
        <v>3500.0</v>
      </c>
      <c r="N14" s="41">
        <v>3300.0</v>
      </c>
      <c r="O14" s="43">
        <v>3400.0</v>
      </c>
      <c r="P14" s="46">
        <f t="shared" ref="P14:AA14" si="12">IFERROR(FORECAST(P$4,$D14:$O14,$D$4:$O$4),"")</f>
        <v>3397.851286</v>
      </c>
      <c r="Q14" s="47">
        <f t="shared" si="12"/>
        <v>3407.618512</v>
      </c>
      <c r="R14" s="47">
        <f t="shared" si="12"/>
        <v>3417.711312</v>
      </c>
      <c r="S14" s="47">
        <f t="shared" si="12"/>
        <v>3427.478538</v>
      </c>
      <c r="T14" s="47">
        <f t="shared" si="12"/>
        <v>3437.571338</v>
      </c>
      <c r="U14" s="47">
        <f t="shared" si="12"/>
        <v>3447.664138</v>
      </c>
      <c r="V14" s="47">
        <f t="shared" si="12"/>
        <v>3456.780216</v>
      </c>
      <c r="W14" s="47">
        <f t="shared" si="12"/>
        <v>3466.873016</v>
      </c>
      <c r="X14" s="47">
        <f t="shared" si="12"/>
        <v>3476.640242</v>
      </c>
      <c r="Y14" s="47">
        <f t="shared" si="12"/>
        <v>3486.733042</v>
      </c>
      <c r="Z14" s="47">
        <f t="shared" si="12"/>
        <v>3496.500268</v>
      </c>
      <c r="AA14" s="50">
        <f t="shared" si="12"/>
        <v>3506.593068</v>
      </c>
      <c r="AB14" s="2">
        <v>40000.0</v>
      </c>
      <c r="AC14" s="2">
        <v>41426.01497692065</v>
      </c>
    </row>
    <row r="15">
      <c r="B15" s="40" t="s">
        <v>31</v>
      </c>
      <c r="C15" s="41" t="s">
        <v>32</v>
      </c>
      <c r="D15" s="41">
        <v>4500.0</v>
      </c>
      <c r="E15" s="41">
        <v>4800.0</v>
      </c>
      <c r="F15" s="41">
        <v>4200.0</v>
      </c>
      <c r="G15" s="41">
        <v>4700.0</v>
      </c>
      <c r="H15" s="41">
        <v>4600.0</v>
      </c>
      <c r="I15" s="41">
        <v>4800.0</v>
      </c>
      <c r="J15" s="41">
        <v>4700.0</v>
      </c>
      <c r="K15" s="41">
        <v>4500.0</v>
      </c>
      <c r="L15" s="41">
        <v>4900.0</v>
      </c>
      <c r="M15" s="41">
        <v>5000.0</v>
      </c>
      <c r="N15" s="41">
        <v>5100.0</v>
      </c>
      <c r="O15" s="43">
        <v>5300.0</v>
      </c>
      <c r="P15" s="46">
        <f t="shared" ref="P15:AA15" si="13">IFERROR(FORECAST(P$4,$D15:$O15,$D$4:$O$4),"")</f>
        <v>5163.116859</v>
      </c>
      <c r="Q15" s="47">
        <f t="shared" si="13"/>
        <v>5224.396114</v>
      </c>
      <c r="R15" s="47">
        <f t="shared" si="13"/>
        <v>5287.718012</v>
      </c>
      <c r="S15" s="47">
        <f t="shared" si="13"/>
        <v>5348.997267</v>
      </c>
      <c r="T15" s="47">
        <f t="shared" si="13"/>
        <v>5412.319164</v>
      </c>
      <c r="U15" s="47">
        <f t="shared" si="13"/>
        <v>5475.641061</v>
      </c>
      <c r="V15" s="47">
        <f t="shared" si="13"/>
        <v>5532.835033</v>
      </c>
      <c r="W15" s="47">
        <f t="shared" si="13"/>
        <v>5596.15693</v>
      </c>
      <c r="X15" s="47">
        <f t="shared" si="13"/>
        <v>5657.436186</v>
      </c>
      <c r="Y15" s="47">
        <f t="shared" si="13"/>
        <v>5720.758083</v>
      </c>
      <c r="Z15" s="47">
        <f t="shared" si="13"/>
        <v>5782.037338</v>
      </c>
      <c r="AA15" s="50">
        <f t="shared" si="13"/>
        <v>5845.359235</v>
      </c>
      <c r="AB15" s="2">
        <v>57100.0</v>
      </c>
      <c r="AC15" s="2">
        <v>66046.77128349384</v>
      </c>
    </row>
    <row r="16">
      <c r="B16" s="40" t="s">
        <v>31</v>
      </c>
      <c r="C16" s="41" t="s">
        <v>33</v>
      </c>
      <c r="D16" s="41">
        <v>1800.0</v>
      </c>
      <c r="E16" s="41">
        <v>1700.0</v>
      </c>
      <c r="F16" s="41">
        <v>2100.0</v>
      </c>
      <c r="G16" s="41">
        <v>1800.0</v>
      </c>
      <c r="H16" s="41">
        <v>2000.0</v>
      </c>
      <c r="I16" s="41">
        <v>1900.0</v>
      </c>
      <c r="J16" s="41">
        <v>2200.0</v>
      </c>
      <c r="K16" s="41">
        <v>1900.0</v>
      </c>
      <c r="L16" s="41">
        <v>2100.0</v>
      </c>
      <c r="M16" s="41">
        <v>2000.0</v>
      </c>
      <c r="N16" s="41">
        <v>1900.0</v>
      </c>
      <c r="O16" s="43">
        <v>2100.0</v>
      </c>
      <c r="P16" s="46">
        <f t="shared" ref="P16:AA16" si="14">IFERROR(FORECAST(P$4,$D16:$O16,$D$4:$O$4),"")</f>
        <v>2093.07679</v>
      </c>
      <c r="Q16" s="47">
        <f t="shared" si="14"/>
        <v>2113.475295</v>
      </c>
      <c r="R16" s="47">
        <f t="shared" si="14"/>
        <v>2134.55375</v>
      </c>
      <c r="S16" s="47">
        <f t="shared" si="14"/>
        <v>2154.952255</v>
      </c>
      <c r="T16" s="47">
        <f t="shared" si="14"/>
        <v>2176.03071</v>
      </c>
      <c r="U16" s="47">
        <f t="shared" si="14"/>
        <v>2197.109165</v>
      </c>
      <c r="V16" s="47">
        <f t="shared" si="14"/>
        <v>2216.14777</v>
      </c>
      <c r="W16" s="47">
        <f t="shared" si="14"/>
        <v>2237.226225</v>
      </c>
      <c r="X16" s="47">
        <f t="shared" si="14"/>
        <v>2257.624729</v>
      </c>
      <c r="Y16" s="47">
        <f t="shared" si="14"/>
        <v>2278.703184</v>
      </c>
      <c r="Z16" s="47">
        <f t="shared" si="14"/>
        <v>2299.101689</v>
      </c>
      <c r="AA16" s="50">
        <f t="shared" si="14"/>
        <v>2320.180144</v>
      </c>
      <c r="AB16" s="2">
        <v>23500.0</v>
      </c>
      <c r="AC16" s="2">
        <v>26478.181707450352</v>
      </c>
    </row>
    <row r="17">
      <c r="B17" s="40" t="s">
        <v>31</v>
      </c>
      <c r="C17" s="41" t="s">
        <v>36</v>
      </c>
      <c r="D17" s="41">
        <v>2500.0</v>
      </c>
      <c r="E17" s="41">
        <v>2800.0</v>
      </c>
      <c r="F17" s="41">
        <v>2600.0</v>
      </c>
      <c r="G17" s="41">
        <v>2700.0</v>
      </c>
      <c r="H17" s="41">
        <v>2500.0</v>
      </c>
      <c r="I17" s="41">
        <v>2900.0</v>
      </c>
      <c r="J17" s="41">
        <v>2700.0</v>
      </c>
      <c r="K17" s="41">
        <v>2800.0</v>
      </c>
      <c r="L17" s="41">
        <v>2600.0</v>
      </c>
      <c r="M17" s="41">
        <v>2700.0</v>
      </c>
      <c r="N17" s="41">
        <v>2600.0</v>
      </c>
      <c r="O17" s="43">
        <v>2800.0</v>
      </c>
      <c r="P17" s="46">
        <f t="shared" ref="P17:AA17" si="15">IFERROR(FORECAST(P$4,$D17:$O17,$D$4:$O$4),"")</f>
        <v>2738.497943</v>
      </c>
      <c r="Q17" s="47">
        <f t="shared" si="15"/>
        <v>2746.849188</v>
      </c>
      <c r="R17" s="47">
        <f t="shared" si="15"/>
        <v>2755.478807</v>
      </c>
      <c r="S17" s="47">
        <f t="shared" si="15"/>
        <v>2763.830052</v>
      </c>
      <c r="T17" s="47">
        <f t="shared" si="15"/>
        <v>2772.459671</v>
      </c>
      <c r="U17" s="47">
        <f t="shared" si="15"/>
        <v>2781.089291</v>
      </c>
      <c r="V17" s="47">
        <f t="shared" si="15"/>
        <v>2788.883785</v>
      </c>
      <c r="W17" s="47">
        <f t="shared" si="15"/>
        <v>2797.513405</v>
      </c>
      <c r="X17" s="47">
        <f t="shared" si="15"/>
        <v>2805.864649</v>
      </c>
      <c r="Y17" s="47">
        <f t="shared" si="15"/>
        <v>2814.494269</v>
      </c>
      <c r="Z17" s="47">
        <f t="shared" si="15"/>
        <v>2822.845513</v>
      </c>
      <c r="AA17" s="50">
        <f t="shared" si="15"/>
        <v>2831.475133</v>
      </c>
      <c r="AB17" s="2">
        <v>32200.0</v>
      </c>
      <c r="AC17" s="2">
        <v>33419.28170668895</v>
      </c>
    </row>
    <row r="18">
      <c r="B18" s="40" t="s">
        <v>31</v>
      </c>
      <c r="C18" s="41" t="s">
        <v>37</v>
      </c>
      <c r="D18" s="41">
        <v>1200.0</v>
      </c>
      <c r="E18" s="41">
        <v>1500.0</v>
      </c>
      <c r="F18" s="41">
        <v>1300.0</v>
      </c>
      <c r="G18" s="41">
        <v>1400.0</v>
      </c>
      <c r="H18" s="41">
        <v>1400.0</v>
      </c>
      <c r="I18" s="41">
        <v>1300.0</v>
      </c>
      <c r="J18" s="41">
        <v>1500.0</v>
      </c>
      <c r="K18" s="41">
        <v>1400.0</v>
      </c>
      <c r="L18" s="41">
        <v>1400.0</v>
      </c>
      <c r="M18" s="41">
        <v>1500.0</v>
      </c>
      <c r="N18" s="41">
        <v>1400.0</v>
      </c>
      <c r="O18" s="43">
        <v>1500.0</v>
      </c>
      <c r="P18" s="46">
        <f t="shared" ref="P18:AA18" si="16">IFERROR(FORECAST(P$4,$D18:$O18,$D$4:$O$4),"")</f>
        <v>1491.119666</v>
      </c>
      <c r="Q18" s="47">
        <f t="shared" si="16"/>
        <v>1504.914064</v>
      </c>
      <c r="R18" s="47">
        <f t="shared" si="16"/>
        <v>1519.168276</v>
      </c>
      <c r="S18" s="47">
        <f t="shared" si="16"/>
        <v>1532.962674</v>
      </c>
      <c r="T18" s="47">
        <f t="shared" si="16"/>
        <v>1547.216886</v>
      </c>
      <c r="U18" s="47">
        <f t="shared" si="16"/>
        <v>1561.471098</v>
      </c>
      <c r="V18" s="47">
        <f t="shared" si="16"/>
        <v>1574.34587</v>
      </c>
      <c r="W18" s="47">
        <f t="shared" si="16"/>
        <v>1588.600082</v>
      </c>
      <c r="X18" s="47">
        <f t="shared" si="16"/>
        <v>1602.39448</v>
      </c>
      <c r="Y18" s="47">
        <f t="shared" si="16"/>
        <v>1616.648692</v>
      </c>
      <c r="Z18" s="47">
        <f t="shared" si="16"/>
        <v>1630.44309</v>
      </c>
      <c r="AA18" s="50">
        <f t="shared" si="16"/>
        <v>1644.697302</v>
      </c>
      <c r="AB18" s="2">
        <v>16800.0</v>
      </c>
      <c r="AC18" s="2">
        <v>18813.982180966606</v>
      </c>
    </row>
    <row r="19">
      <c r="B19" s="62" t="s">
        <v>31</v>
      </c>
      <c r="C19" s="64" t="s">
        <v>39</v>
      </c>
      <c r="D19" s="64">
        <v>2200.0</v>
      </c>
      <c r="E19" s="64">
        <v>2100.0</v>
      </c>
      <c r="F19" s="64">
        <v>2300.0</v>
      </c>
      <c r="G19" s="64">
        <v>2400.0</v>
      </c>
      <c r="H19" s="64">
        <v>2500.0</v>
      </c>
      <c r="I19" s="64">
        <v>2200.0</v>
      </c>
      <c r="J19" s="64">
        <v>2400.0</v>
      </c>
      <c r="K19" s="64">
        <v>2300.0</v>
      </c>
      <c r="L19" s="64">
        <v>2500.0</v>
      </c>
      <c r="M19" s="64">
        <v>2400.0</v>
      </c>
      <c r="N19" s="64">
        <v>2300.0</v>
      </c>
      <c r="O19" s="66">
        <v>2500.0</v>
      </c>
      <c r="P19" s="46">
        <f t="shared" ref="P19:AA19" si="17">IFERROR(FORECAST(P$4,$D19:$O19,$D$4:$O$4),"")</f>
        <v>2476.510697</v>
      </c>
      <c r="Q19" s="67">
        <f t="shared" si="17"/>
        <v>2496.924428</v>
      </c>
      <c r="R19" s="67">
        <f t="shared" si="17"/>
        <v>2518.018616</v>
      </c>
      <c r="S19" s="67">
        <f t="shared" si="17"/>
        <v>2538.432346</v>
      </c>
      <c r="T19" s="67">
        <f t="shared" si="17"/>
        <v>2559.526534</v>
      </c>
      <c r="U19" s="67">
        <f t="shared" si="17"/>
        <v>2580.620723</v>
      </c>
      <c r="V19" s="67">
        <f t="shared" si="17"/>
        <v>2599.673538</v>
      </c>
      <c r="W19" s="67">
        <f t="shared" si="17"/>
        <v>2620.767726</v>
      </c>
      <c r="X19" s="67">
        <f t="shared" si="17"/>
        <v>2641.181456</v>
      </c>
      <c r="Y19" s="67">
        <f t="shared" si="17"/>
        <v>2662.275644</v>
      </c>
      <c r="Z19" s="67">
        <f t="shared" si="17"/>
        <v>2682.689375</v>
      </c>
      <c r="AA19" s="68">
        <f t="shared" si="17"/>
        <v>2703.783563</v>
      </c>
      <c r="AB19" s="2">
        <v>28100.0</v>
      </c>
      <c r="AC19" s="2">
        <v>31080.40464583997</v>
      </c>
    </row>
    <row r="20">
      <c r="B20" s="62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71" t="str">
        <f t="shared" ref="P20:AA20" si="18">IFERROR(FORECAST(P$4,$D20:$O20,$D$4:$O$4),"")</f>
        <v/>
      </c>
      <c r="Q20" s="72" t="str">
        <f t="shared" si="18"/>
        <v/>
      </c>
      <c r="R20" s="72" t="str">
        <f t="shared" si="18"/>
        <v/>
      </c>
      <c r="S20" s="72" t="str">
        <f t="shared" si="18"/>
        <v/>
      </c>
      <c r="T20" s="72" t="str">
        <f t="shared" si="18"/>
        <v/>
      </c>
      <c r="U20" s="72" t="str">
        <f t="shared" si="18"/>
        <v/>
      </c>
      <c r="V20" s="72" t="str">
        <f t="shared" si="18"/>
        <v/>
      </c>
      <c r="W20" s="72" t="str">
        <f t="shared" si="18"/>
        <v/>
      </c>
      <c r="X20" s="72" t="str">
        <f t="shared" si="18"/>
        <v/>
      </c>
      <c r="Y20" s="72" t="str">
        <f t="shared" si="18"/>
        <v/>
      </c>
      <c r="Z20" s="72" t="str">
        <f t="shared" si="18"/>
        <v/>
      </c>
      <c r="AA20" s="73" t="str">
        <f t="shared" si="18"/>
        <v/>
      </c>
      <c r="AB20" s="2"/>
      <c r="AC20" s="2"/>
    </row>
    <row r="21">
      <c r="B21" s="62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70"/>
      <c r="P21" s="71" t="str">
        <f t="shared" ref="P21:AA21" si="19">IFERROR(FORECAST(P$4,$D21:$O21,$D$4:$O$4),"")</f>
        <v/>
      </c>
      <c r="Q21" s="72" t="str">
        <f t="shared" si="19"/>
        <v/>
      </c>
      <c r="R21" s="72" t="str">
        <f t="shared" si="19"/>
        <v/>
      </c>
      <c r="S21" s="72" t="str">
        <f t="shared" si="19"/>
        <v/>
      </c>
      <c r="T21" s="72" t="str">
        <f t="shared" si="19"/>
        <v/>
      </c>
      <c r="U21" s="72" t="str">
        <f t="shared" si="19"/>
        <v/>
      </c>
      <c r="V21" s="72" t="str">
        <f t="shared" si="19"/>
        <v/>
      </c>
      <c r="W21" s="72" t="str">
        <f t="shared" si="19"/>
        <v/>
      </c>
      <c r="X21" s="72" t="str">
        <f t="shared" si="19"/>
        <v/>
      </c>
      <c r="Y21" s="72" t="str">
        <f t="shared" si="19"/>
        <v/>
      </c>
      <c r="Z21" s="72" t="str">
        <f t="shared" si="19"/>
        <v/>
      </c>
      <c r="AA21" s="73" t="str">
        <f t="shared" si="19"/>
        <v/>
      </c>
      <c r="AB21" s="2"/>
      <c r="AC21" s="2"/>
    </row>
    <row r="22">
      <c r="B22" s="62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70"/>
      <c r="P22" s="71" t="str">
        <f t="shared" ref="P22:AA22" si="20">IFERROR(FORECAST(P$4,$D22:$O22,$D$4:$O$4),"")</f>
        <v/>
      </c>
      <c r="Q22" s="72" t="str">
        <f t="shared" si="20"/>
        <v/>
      </c>
      <c r="R22" s="72" t="str">
        <f t="shared" si="20"/>
        <v/>
      </c>
      <c r="S22" s="72" t="str">
        <f t="shared" si="20"/>
        <v/>
      </c>
      <c r="T22" s="72" t="str">
        <f t="shared" si="20"/>
        <v/>
      </c>
      <c r="U22" s="72" t="str">
        <f t="shared" si="20"/>
        <v/>
      </c>
      <c r="V22" s="72" t="str">
        <f t="shared" si="20"/>
        <v/>
      </c>
      <c r="W22" s="72" t="str">
        <f t="shared" si="20"/>
        <v/>
      </c>
      <c r="X22" s="72" t="str">
        <f t="shared" si="20"/>
        <v/>
      </c>
      <c r="Y22" s="72" t="str">
        <f t="shared" si="20"/>
        <v/>
      </c>
      <c r="Z22" s="72" t="str">
        <f t="shared" si="20"/>
        <v/>
      </c>
      <c r="AA22" s="73" t="str">
        <f t="shared" si="20"/>
        <v/>
      </c>
      <c r="AB22" s="2"/>
      <c r="AC22" s="2"/>
    </row>
    <row r="23">
      <c r="B23" s="62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70"/>
      <c r="P23" s="71" t="str">
        <f t="shared" ref="P23:AA23" si="21">IFERROR(FORECAST(P$4,$D23:$O23,$D$4:$O$4),"")</f>
        <v/>
      </c>
      <c r="Q23" s="72" t="str">
        <f t="shared" si="21"/>
        <v/>
      </c>
      <c r="R23" s="72" t="str">
        <f t="shared" si="21"/>
        <v/>
      </c>
      <c r="S23" s="72" t="str">
        <f t="shared" si="21"/>
        <v/>
      </c>
      <c r="T23" s="72" t="str">
        <f t="shared" si="21"/>
        <v/>
      </c>
      <c r="U23" s="72" t="str">
        <f t="shared" si="21"/>
        <v/>
      </c>
      <c r="V23" s="72" t="str">
        <f t="shared" si="21"/>
        <v/>
      </c>
      <c r="W23" s="72" t="str">
        <f t="shared" si="21"/>
        <v/>
      </c>
      <c r="X23" s="72" t="str">
        <f t="shared" si="21"/>
        <v/>
      </c>
      <c r="Y23" s="72" t="str">
        <f t="shared" si="21"/>
        <v/>
      </c>
      <c r="Z23" s="72" t="str">
        <f t="shared" si="21"/>
        <v/>
      </c>
      <c r="AA23" s="73" t="str">
        <f t="shared" si="21"/>
        <v/>
      </c>
      <c r="AB23" s="2"/>
      <c r="AC23" s="2"/>
    </row>
    <row r="24">
      <c r="B24" s="62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70"/>
      <c r="P24" s="71" t="str">
        <f t="shared" ref="P24:AA24" si="22">IFERROR(FORECAST(P$4,$D24:$O24,$D$4:$O$4),"")</f>
        <v/>
      </c>
      <c r="Q24" s="72" t="str">
        <f t="shared" si="22"/>
        <v/>
      </c>
      <c r="R24" s="72" t="str">
        <f t="shared" si="22"/>
        <v/>
      </c>
      <c r="S24" s="72" t="str">
        <f t="shared" si="22"/>
        <v/>
      </c>
      <c r="T24" s="72" t="str">
        <f t="shared" si="22"/>
        <v/>
      </c>
      <c r="U24" s="72" t="str">
        <f t="shared" si="22"/>
        <v/>
      </c>
      <c r="V24" s="72" t="str">
        <f t="shared" si="22"/>
        <v/>
      </c>
      <c r="W24" s="72" t="str">
        <f t="shared" si="22"/>
        <v/>
      </c>
      <c r="X24" s="72" t="str">
        <f t="shared" si="22"/>
        <v/>
      </c>
      <c r="Y24" s="72" t="str">
        <f t="shared" si="22"/>
        <v/>
      </c>
      <c r="Z24" s="72" t="str">
        <f t="shared" si="22"/>
        <v/>
      </c>
      <c r="AA24" s="73" t="str">
        <f t="shared" si="22"/>
        <v/>
      </c>
      <c r="AB24" s="2"/>
      <c r="AC24" s="2"/>
    </row>
    <row r="25">
      <c r="B25" s="62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70"/>
      <c r="P25" s="71" t="str">
        <f t="shared" ref="P25:AA25" si="23">IFERROR(FORECAST(P$4,$D25:$O25,$D$4:$O$4),"")</f>
        <v/>
      </c>
      <c r="Q25" s="72" t="str">
        <f t="shared" si="23"/>
        <v/>
      </c>
      <c r="R25" s="72" t="str">
        <f t="shared" si="23"/>
        <v/>
      </c>
      <c r="S25" s="72" t="str">
        <f t="shared" si="23"/>
        <v/>
      </c>
      <c r="T25" s="72" t="str">
        <f t="shared" si="23"/>
        <v/>
      </c>
      <c r="U25" s="72" t="str">
        <f t="shared" si="23"/>
        <v/>
      </c>
      <c r="V25" s="72" t="str">
        <f t="shared" si="23"/>
        <v/>
      </c>
      <c r="W25" s="72" t="str">
        <f t="shared" si="23"/>
        <v/>
      </c>
      <c r="X25" s="72" t="str">
        <f t="shared" si="23"/>
        <v/>
      </c>
      <c r="Y25" s="72" t="str">
        <f t="shared" si="23"/>
        <v/>
      </c>
      <c r="Z25" s="72" t="str">
        <f t="shared" si="23"/>
        <v/>
      </c>
      <c r="AA25" s="73" t="str">
        <f t="shared" si="23"/>
        <v/>
      </c>
      <c r="AB25" s="2"/>
      <c r="AC25" s="2"/>
    </row>
    <row r="26">
      <c r="B26" s="62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70"/>
      <c r="P26" s="71" t="str">
        <f t="shared" ref="P26:AA26" si="24">IFERROR(FORECAST(P$4,$D26:$O26,$D$4:$O$4),"")</f>
        <v/>
      </c>
      <c r="Q26" s="72" t="str">
        <f t="shared" si="24"/>
        <v/>
      </c>
      <c r="R26" s="72" t="str">
        <f t="shared" si="24"/>
        <v/>
      </c>
      <c r="S26" s="72" t="str">
        <f t="shared" si="24"/>
        <v/>
      </c>
      <c r="T26" s="72" t="str">
        <f t="shared" si="24"/>
        <v/>
      </c>
      <c r="U26" s="72" t="str">
        <f t="shared" si="24"/>
        <v/>
      </c>
      <c r="V26" s="72" t="str">
        <f t="shared" si="24"/>
        <v/>
      </c>
      <c r="W26" s="72" t="str">
        <f t="shared" si="24"/>
        <v/>
      </c>
      <c r="X26" s="72" t="str">
        <f t="shared" si="24"/>
        <v/>
      </c>
      <c r="Y26" s="72" t="str">
        <f t="shared" si="24"/>
        <v/>
      </c>
      <c r="Z26" s="72" t="str">
        <f t="shared" si="24"/>
        <v/>
      </c>
      <c r="AA26" s="73" t="str">
        <f t="shared" si="24"/>
        <v/>
      </c>
      <c r="AB26" s="2"/>
      <c r="AC26" s="2"/>
    </row>
    <row r="27">
      <c r="B27" s="62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70"/>
      <c r="P27" s="71" t="str">
        <f t="shared" ref="P27:AA27" si="25">IFERROR(FORECAST(P$4,$D27:$O27,$D$4:$O$4),"")</f>
        <v/>
      </c>
      <c r="Q27" s="72" t="str">
        <f t="shared" si="25"/>
        <v/>
      </c>
      <c r="R27" s="72" t="str">
        <f t="shared" si="25"/>
        <v/>
      </c>
      <c r="S27" s="72" t="str">
        <f t="shared" si="25"/>
        <v/>
      </c>
      <c r="T27" s="72" t="str">
        <f t="shared" si="25"/>
        <v/>
      </c>
      <c r="U27" s="72" t="str">
        <f t="shared" si="25"/>
        <v/>
      </c>
      <c r="V27" s="72" t="str">
        <f t="shared" si="25"/>
        <v/>
      </c>
      <c r="W27" s="72" t="str">
        <f t="shared" si="25"/>
        <v/>
      </c>
      <c r="X27" s="72" t="str">
        <f t="shared" si="25"/>
        <v/>
      </c>
      <c r="Y27" s="72" t="str">
        <f t="shared" si="25"/>
        <v/>
      </c>
      <c r="Z27" s="72" t="str">
        <f t="shared" si="25"/>
        <v/>
      </c>
      <c r="AA27" s="73" t="str">
        <f t="shared" si="25"/>
        <v/>
      </c>
      <c r="AB27" s="2"/>
      <c r="AC27" s="2"/>
    </row>
    <row r="28">
      <c r="B28" s="6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70"/>
      <c r="P28" s="71" t="str">
        <f t="shared" ref="P28:AA28" si="26">IFERROR(FORECAST(P$4,$D28:$O28,$D$4:$O$4),"")</f>
        <v/>
      </c>
      <c r="Q28" s="72" t="str">
        <f t="shared" si="26"/>
        <v/>
      </c>
      <c r="R28" s="72" t="str">
        <f t="shared" si="26"/>
        <v/>
      </c>
      <c r="S28" s="72" t="str">
        <f t="shared" si="26"/>
        <v/>
      </c>
      <c r="T28" s="72" t="str">
        <f t="shared" si="26"/>
        <v/>
      </c>
      <c r="U28" s="72" t="str">
        <f t="shared" si="26"/>
        <v/>
      </c>
      <c r="V28" s="72" t="str">
        <f t="shared" si="26"/>
        <v/>
      </c>
      <c r="W28" s="72" t="str">
        <f t="shared" si="26"/>
        <v/>
      </c>
      <c r="X28" s="72" t="str">
        <f t="shared" si="26"/>
        <v/>
      </c>
      <c r="Y28" s="72" t="str">
        <f t="shared" si="26"/>
        <v/>
      </c>
      <c r="Z28" s="72" t="str">
        <f t="shared" si="26"/>
        <v/>
      </c>
      <c r="AA28" s="73" t="str">
        <f t="shared" si="26"/>
        <v/>
      </c>
      <c r="AB28" s="2"/>
      <c r="AC28" s="2"/>
    </row>
    <row r="29">
      <c r="B29" s="79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1"/>
      <c r="P29" s="82" t="str">
        <f t="shared" ref="P29:AA29" si="27">IFERROR(FORECAST(P$4,$D29:$O29,$D$4:$O$4),"")</f>
        <v/>
      </c>
      <c r="Q29" s="83" t="str">
        <f t="shared" si="27"/>
        <v/>
      </c>
      <c r="R29" s="83" t="str">
        <f t="shared" si="27"/>
        <v/>
      </c>
      <c r="S29" s="83" t="str">
        <f t="shared" si="27"/>
        <v/>
      </c>
      <c r="T29" s="83" t="str">
        <f t="shared" si="27"/>
        <v/>
      </c>
      <c r="U29" s="83" t="str">
        <f t="shared" si="27"/>
        <v/>
      </c>
      <c r="V29" s="83" t="str">
        <f t="shared" si="27"/>
        <v/>
      </c>
      <c r="W29" s="83" t="str">
        <f t="shared" si="27"/>
        <v/>
      </c>
      <c r="X29" s="83" t="str">
        <f t="shared" si="27"/>
        <v/>
      </c>
      <c r="Y29" s="83" t="str">
        <f t="shared" si="27"/>
        <v/>
      </c>
      <c r="Z29" s="83" t="str">
        <f t="shared" si="27"/>
        <v/>
      </c>
      <c r="AA29" s="85" t="str">
        <f t="shared" si="27"/>
        <v/>
      </c>
      <c r="AB29" s="2"/>
      <c r="AC29" s="2"/>
    </row>
    <row r="30">
      <c r="AB30" s="2"/>
      <c r="AC3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6.63"/>
    <col customWidth="1" min="3" max="3" width="40.5"/>
    <col customWidth="1" min="4" max="4" width="10.38"/>
    <col customWidth="1" min="5" max="5" width="4.38"/>
    <col customWidth="1" min="6" max="6" width="7.13"/>
    <col customWidth="1" min="7" max="7" width="47.63"/>
    <col customWidth="1" min="8" max="8" width="5.13"/>
    <col customWidth="1" min="9" max="9" width="4.25"/>
    <col customWidth="1" min="10" max="10" width="6.38"/>
    <col customWidth="1" min="11" max="11" width="39.5"/>
    <col customWidth="1" min="12" max="12" width="2.5"/>
  </cols>
  <sheetData>
    <row r="1" ht="15.0" customHeight="1">
      <c r="A1" s="8"/>
      <c r="B1" s="10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ht="49.5" customHeight="1">
      <c r="A2" s="8"/>
      <c r="B2" s="10"/>
      <c r="C2" s="12"/>
      <c r="D2" s="13"/>
      <c r="E2" s="12"/>
      <c r="F2" s="13"/>
      <c r="G2" s="12"/>
      <c r="H2" s="15"/>
    </row>
    <row r="3" ht="60.0" customHeight="1">
      <c r="A3" s="16"/>
      <c r="B3" s="17"/>
      <c r="C3" s="18"/>
      <c r="D3" s="19"/>
      <c r="E3" s="19"/>
      <c r="F3" s="20"/>
      <c r="G3" s="19"/>
    </row>
    <row r="4" ht="60.0" customHeight="1">
      <c r="A4" s="16"/>
      <c r="B4" s="17"/>
      <c r="C4" s="18"/>
      <c r="D4" s="19"/>
      <c r="E4" s="19"/>
      <c r="F4" s="20"/>
      <c r="G4" s="19"/>
      <c r="H4" s="15"/>
      <c r="I4" s="15"/>
      <c r="J4" s="15"/>
      <c r="K4" s="15"/>
      <c r="L4" s="15"/>
    </row>
    <row r="5" ht="60.0" customHeight="1">
      <c r="A5" s="16"/>
      <c r="B5" s="17"/>
      <c r="C5" s="18"/>
      <c r="D5" s="19"/>
      <c r="E5" s="19"/>
      <c r="F5" s="20"/>
      <c r="G5" s="19"/>
      <c r="H5" s="15"/>
      <c r="I5" s="15"/>
      <c r="J5" s="15"/>
      <c r="K5" s="15"/>
      <c r="L5" s="15"/>
    </row>
    <row r="6" ht="38.25" customHeight="1">
      <c r="A6" s="16"/>
      <c r="B6" s="17"/>
      <c r="C6" s="18"/>
      <c r="D6" s="19"/>
      <c r="E6" s="19"/>
      <c r="F6" s="20"/>
      <c r="G6" s="19"/>
      <c r="H6" s="15"/>
      <c r="I6" s="15"/>
      <c r="J6" s="15"/>
      <c r="K6" s="15"/>
      <c r="L6" s="15"/>
    </row>
    <row r="7" ht="64.5" customHeight="1">
      <c r="A7" s="24"/>
      <c r="B7" s="25" t="s">
        <v>6</v>
      </c>
      <c r="C7" s="26" t="s">
        <v>7</v>
      </c>
      <c r="D7" s="24"/>
      <c r="E7" s="24"/>
      <c r="F7" s="25" t="s">
        <v>8</v>
      </c>
      <c r="G7" s="28" t="s">
        <v>9</v>
      </c>
      <c r="H7" s="24"/>
      <c r="I7" s="24"/>
      <c r="J7" s="25" t="s">
        <v>10</v>
      </c>
      <c r="K7" s="26" t="s">
        <v>11</v>
      </c>
      <c r="L7" s="24"/>
    </row>
    <row r="8" ht="76.5" customHeight="1">
      <c r="A8" s="24"/>
      <c r="B8" s="29"/>
      <c r="C8" s="30"/>
      <c r="D8" s="31" t="s">
        <v>12</v>
      </c>
      <c r="E8" s="32"/>
      <c r="F8" s="29"/>
      <c r="G8" s="33" t="s">
        <v>13</v>
      </c>
      <c r="H8" s="24"/>
      <c r="I8" s="24"/>
      <c r="J8" s="29"/>
      <c r="K8" s="34" t="s">
        <v>14</v>
      </c>
      <c r="L8" s="24"/>
    </row>
    <row r="9" ht="55.5" customHeight="1">
      <c r="A9" s="24"/>
      <c r="B9" s="29"/>
      <c r="C9" s="35" t="s">
        <v>15</v>
      </c>
      <c r="D9" s="24"/>
      <c r="E9" s="24"/>
      <c r="F9" s="29"/>
      <c r="H9" s="24"/>
      <c r="I9" s="24"/>
      <c r="J9" s="29"/>
      <c r="L9" s="24"/>
    </row>
    <row r="10" ht="18.0" customHeight="1">
      <c r="A10" s="24"/>
      <c r="B10" s="29"/>
      <c r="C10" s="36"/>
      <c r="D10" s="24"/>
      <c r="E10" s="24"/>
      <c r="F10" s="29"/>
      <c r="G10" s="37"/>
      <c r="H10" s="24"/>
      <c r="I10" s="24"/>
      <c r="J10" s="24"/>
      <c r="K10" s="24"/>
      <c r="L10" s="24"/>
    </row>
    <row r="11" ht="30.75" customHeight="1">
      <c r="A11" s="24"/>
      <c r="B11" s="29"/>
      <c r="C11" s="39" t="s">
        <v>16</v>
      </c>
      <c r="D11" s="24"/>
      <c r="E11" s="24"/>
      <c r="F11" s="29"/>
      <c r="G11" s="37"/>
      <c r="H11" s="24"/>
      <c r="I11" s="24"/>
      <c r="J11" s="24"/>
      <c r="K11" s="24"/>
      <c r="L11" s="24"/>
    </row>
    <row r="12" ht="17.25" customHeight="1">
      <c r="A12" s="24"/>
      <c r="B12" s="29"/>
      <c r="C12" s="36"/>
      <c r="D12" s="24"/>
      <c r="E12" s="24"/>
      <c r="F12" s="29"/>
      <c r="G12" s="37"/>
      <c r="H12" s="24"/>
      <c r="I12" s="24"/>
      <c r="J12" s="24"/>
      <c r="K12" s="24"/>
      <c r="L12" s="24"/>
    </row>
    <row r="13" ht="26.25" customHeight="1">
      <c r="A13" s="24"/>
      <c r="B13" s="29"/>
      <c r="C13" s="42" t="s">
        <v>17</v>
      </c>
      <c r="D13" s="24"/>
      <c r="E13" s="24"/>
      <c r="F13" s="29"/>
      <c r="G13" s="37"/>
      <c r="H13" s="24"/>
      <c r="I13" s="24"/>
      <c r="J13" s="24"/>
      <c r="K13" s="24"/>
      <c r="L13" s="24"/>
    </row>
    <row r="14" ht="41.25" customHeight="1">
      <c r="A14" s="44"/>
      <c r="B14" s="45"/>
      <c r="C14" s="44"/>
      <c r="D14" s="44"/>
      <c r="E14" s="44"/>
      <c r="F14" s="44"/>
      <c r="G14" s="44"/>
      <c r="H14" s="44"/>
      <c r="I14" s="44"/>
      <c r="J14" s="44"/>
      <c r="K14" s="44"/>
      <c r="L14" s="44"/>
    </row>
    <row r="15">
      <c r="A15" s="48"/>
      <c r="B15" s="49" t="str">
        <f>_coeffs_ok()</f>
        <v>OK</v>
      </c>
      <c r="C15" s="51" t="str">
        <f>IFERROR(__xludf.DUMMYFUNCTION("IMPORTRANGE(""https://docs.google.com/spreadsheets/d/1qFNrgBSxxEQBx4sdMB8uzwFvvIRsUBuGfUwyQgqeRN4/edit#gid=1503868715"",""A1"")"),"Date")</f>
        <v>Date</v>
      </c>
      <c r="D15" s="48"/>
      <c r="E15" s="52" t="b">
        <v>1</v>
      </c>
      <c r="F15" s="48"/>
      <c r="G15" s="52" t="s">
        <v>21</v>
      </c>
      <c r="H15" s="48" t="b">
        <f>IFERROR(__xludf.DUMMYFUNCTION("and(iferror(ERROR.TYPE(_COEFFs_ok())=5,false),iferror(ERROR.TYPE(IMPORTRANGE(""https://docs.google.com/spreadsheets/d/1qFNrgBSxxEQBx4sdMB8uzwFvvIRsUBuGfUwyQgqeRN4/edit#gid=1503868715"",""A1""))=4,false))"),FALSE)</f>
        <v>0</v>
      </c>
      <c r="I15" s="52"/>
      <c r="J15" s="52"/>
      <c r="K15" s="48"/>
      <c r="L15" s="48"/>
    </row>
  </sheetData>
  <mergeCells count="3">
    <mergeCell ref="H2:L3"/>
    <mergeCell ref="G8:G9"/>
    <mergeCell ref="K8:K9"/>
  </mergeCells>
  <hyperlinks>
    <hyperlink r:id="rId1" ref="C11"/>
    <hyperlink r:id="rId2" ref="C13"/>
  </hyperlinks>
  <drawing r:id="rId3"/>
</worksheet>
</file>