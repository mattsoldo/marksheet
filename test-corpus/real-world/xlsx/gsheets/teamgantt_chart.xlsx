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w % Complete" sheetId="1" r:id="rId4"/>
    <sheet state="visible" name="Basic Gantt Chart" sheetId="2" r:id="rId5"/>
    <sheet state="visible" name="Manual Chart" sheetId="3" r:id="rId6"/>
  </sheets>
  <definedNames/>
  <calcPr/>
</workbook>
</file>

<file path=xl/sharedStrings.xml><?xml version="1.0" encoding="utf-8"?>
<sst xmlns="http://schemas.openxmlformats.org/spreadsheetml/2006/main" count="231" uniqueCount="72">
  <si>
    <t>GANTT CHART TEMPLATE</t>
  </si>
  <si>
    <t>TASK NAME</t>
  </si>
  <si>
    <t>START DATE</t>
  </si>
  <si>
    <t>END DATE</t>
  </si>
  <si>
    <t>DURATION (WORK DAYS)</t>
  </si>
  <si>
    <t>TEAM MEMBER</t>
  </si>
  <si>
    <t>PERCENT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</si>
  <si>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</si>
  <si>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</si>
  <si>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</si>
  <si>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</si>
  <si>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</si>
  <si>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</si>
  <si>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</si>
  <si>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</si>
  <si>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</si>
  <si>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</si>
  <si>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</si>
  <si>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</si>
  <si>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</si>
  <si>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</si>
  <si>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</si>
  <si>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Th</t>
  </si>
  <si>
    <t>F</t>
  </si>
  <si>
    <t>First Sample Project</t>
  </si>
  <si>
    <t>Write Landing Page Copy</t>
  </si>
  <si>
    <t>Nathan</t>
  </si>
  <si>
    <t>Meredith</t>
  </si>
  <si>
    <t>Review Landing Page Design</t>
  </si>
  <si>
    <t>Brandon</t>
  </si>
  <si>
    <t>Build Landing Page</t>
  </si>
  <si>
    <t>Michael</t>
  </si>
  <si>
    <t>Code Review Landing Page</t>
  </si>
  <si>
    <t>Rachel</t>
  </si>
  <si>
    <t>Promote Landing Page</t>
  </si>
  <si>
    <t>Annie</t>
  </si>
  <si>
    <t>Second Sample Project</t>
  </si>
  <si>
    <t>Write Promotional Email</t>
  </si>
  <si>
    <t>Design Promotional Email</t>
  </si>
  <si>
    <t>Send Promotional Email to Contacts</t>
  </si>
  <si>
    <t>Analyze Results of Email Campagin</t>
  </si>
  <si>
    <t>Third Sample Project</t>
  </si>
  <si>
    <t>Plan Agenda for Team Meeting</t>
  </si>
  <si>
    <t>Reserve Room and Resources for Meeting</t>
  </si>
  <si>
    <t>Finalize Team Presentation</t>
  </si>
  <si>
    <t>Review &amp; Approve Presentation</t>
  </si>
  <si>
    <t>Create Invitations for Meeting</t>
  </si>
  <si>
    <t>Setup Room for Meeting</t>
  </si>
  <si>
    <t>Fourth Sample Project</t>
  </si>
  <si>
    <t>Rewrite Code for Online Calculator</t>
  </si>
  <si>
    <t>Code Review Updated Calculator</t>
  </si>
  <si>
    <t>Update Messaging for Calculator</t>
  </si>
  <si>
    <t>Publish New Calculator to Site</t>
  </si>
  <si>
    <t>* = an automatically calculated cell</t>
  </si>
  <si>
    <t>START ON DAY*</t>
  </si>
  <si>
    <t>DURATION* (WORK DAYS)</t>
  </si>
  <si>
    <t>Approve Page Copy</t>
  </si>
  <si>
    <t>Send Promotional Email</t>
  </si>
  <si>
    <t>Analyze Campaign Results</t>
  </si>
  <si>
    <t>Plan Agenda for Meeting</t>
  </si>
  <si>
    <t>Reserve Room</t>
  </si>
  <si>
    <t>Finalize Presentation</t>
  </si>
  <si>
    <t>Approve Presentation</t>
  </si>
  <si>
    <t>Create Invitations</t>
  </si>
  <si>
    <t>Rewrite Online Calculator</t>
  </si>
  <si>
    <t>Code Review Calculator</t>
  </si>
  <si>
    <t>Update Messaging</t>
  </si>
  <si>
    <t>Publish Calculator</t>
  </si>
  <si>
    <r>
      <rPr>
        <rFont val="arial,sans,sans-serif"/>
        <b/>
        <sz val="11.0"/>
      </rPr>
      <t xml:space="preserve">To edit this chart, you must first make a copy. Go to </t>
    </r>
    <r>
      <rPr>
        <rFont val="arial,sans,sans-serif"/>
        <b/>
        <i/>
        <sz val="11.0"/>
      </rPr>
      <t>File</t>
    </r>
    <r>
      <rPr>
        <rFont val="arial,sans,sans-serif"/>
        <b/>
        <sz val="11.0"/>
      </rPr>
      <t xml:space="preserve">, the select </t>
    </r>
    <r>
      <rPr>
        <rFont val="arial,sans,sans-serif"/>
        <b/>
        <i/>
        <sz val="11.0"/>
      </rPr>
      <t>Make a Copy</t>
    </r>
    <r>
      <rPr>
        <rFont val="arial,sans,sans-serif"/>
        <b/>
        <sz val="11.0"/>
      </rPr>
      <t>.</t>
    </r>
  </si>
  <si>
    <t>DAY OF MONTH*</t>
  </si>
  <si>
    <t>DAYS COMPLETE*</t>
  </si>
  <si>
    <t>DAYS REMAINING*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</si>
</sst>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&quot;/&quot;d"/>
    <numFmt numFmtId="166" formatCode="m/d"/>
  </numFmts>
  <fonts count="16">
    <font>
      <sz val="10.0"/>
      <color rgb="FF000000"/>
      <name val="Arial"/>
    </font>
    <font>
      <name val="Arial"/>
    </font>
    <font>
      <sz val="26.0"/>
      <color rgb="FF576C88"/>
      <name val="Calibri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0.0"/>
      <color rgb="FFFFFFFF"/>
      <name val="Calibri"/>
    </font>
    <font>
      <b/>
      <sz val="11.0"/>
      <color rgb="FF666666"/>
      <name val="Calibri"/>
    </font>
    <font>
      <b/>
      <sz val="12.0"/>
      <color rgb="FF000000"/>
      <name val="Calibri"/>
    </font>
    <font>
      <name val="Calibri"/>
    </font>
    <font>
      <sz val="11.0"/>
      <color rgb="FF434343"/>
      <name val="Calibri"/>
    </font>
    <font>
      <color rgb="FF576C88"/>
      <name val="Calibri"/>
    </font>
    <font>
      <b/>
      <u/>
      <sz val="14.0"/>
      <color rgb="FF57BB8A"/>
      <name val="Calibri"/>
    </font>
    <font>
      <sz val="14.0"/>
      <color rgb="FF576C88"/>
      <name val="Calibri"/>
    </font>
    <font>
      <b/>
      <sz val="11.0"/>
      <name val="Arial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ADEE"/>
        <bgColor rgb="FF00ADEE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5CBCD6"/>
        <bgColor rgb="FF5CBCD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9BD7B9"/>
        <bgColor rgb="FF9BD7B9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</fills>
  <borders count="12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B7B7B7"/>
      </right>
    </border>
    <border>
      <bottom style="thin">
        <color rgb="FFB7B7B7"/>
      </bottom>
    </border>
    <border>
      <bottom style="thin">
        <color rgb="FFCCCCCC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right style="thin">
        <color rgb="FFB7B7B7"/>
      </right>
      <bottom style="hair">
        <color rgb="FFB7B7B7"/>
      </bottom>
    </border>
    <border>
      <bottom style="hair">
        <color rgb="FFB7B7B7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1" fillId="2" fontId="1" numFmtId="0" xfId="0" applyBorder="1" applyFont="1"/>
    <xf borderId="2" fillId="2" fontId="2" numFmtId="0" xfId="0" applyBorder="1" applyFont="1"/>
    <xf borderId="3" fillId="0" fontId="3" numFmtId="0" xfId="0" applyBorder="1" applyFont="1"/>
    <xf borderId="3" fillId="2" fontId="1" numFmtId="0" xfId="0" applyBorder="1" applyFont="1"/>
    <xf borderId="3" fillId="2" fontId="4" numFmtId="0" xfId="0" applyBorder="1" applyFont="1"/>
    <xf borderId="3" fillId="2" fontId="5" numFmtId="0" xfId="0" applyAlignment="1" applyBorder="1" applyFont="1">
      <alignment shrinkToFit="0" wrapText="1"/>
    </xf>
    <xf borderId="3" fillId="0" fontId="1" numFmtId="0" xfId="0" applyBorder="1" applyFont="1"/>
    <xf borderId="1" fillId="0" fontId="1" numFmtId="14" xfId="0" applyBorder="1" applyFont="1" applyNumberFormat="1"/>
    <xf borderId="0" fillId="3" fontId="6" numFmtId="0" xfId="0" applyAlignment="1" applyFill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/>
    </xf>
    <xf borderId="5" fillId="0" fontId="3" numFmtId="0" xfId="0" applyBorder="1" applyFont="1"/>
    <xf borderId="5" fillId="5" fontId="7" numFmtId="0" xfId="0" applyAlignment="1" applyBorder="1" applyFill="1" applyFont="1">
      <alignment horizontal="center"/>
    </xf>
    <xf borderId="4" fillId="0" fontId="3" numFmtId="0" xfId="0" applyBorder="1" applyFont="1"/>
    <xf borderId="4" fillId="4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/>
    </xf>
    <xf borderId="6" fillId="6" fontId="8" numFmtId="0" xfId="0" applyAlignment="1" applyBorder="1" applyFill="1" applyFont="1">
      <alignment readingOrder="0"/>
    </xf>
    <xf borderId="6" fillId="6" fontId="9" numFmtId="0" xfId="0" applyBorder="1" applyFont="1"/>
    <xf borderId="6" fillId="0" fontId="3" numFmtId="0" xfId="0" applyBorder="1" applyFont="1"/>
    <xf borderId="0" fillId="6" fontId="9" numFmtId="0" xfId="0" applyFont="1"/>
    <xf borderId="0" fillId="6" fontId="9" numFmtId="164" xfId="0" applyFont="1" applyNumberFormat="1"/>
    <xf borderId="0" fillId="6" fontId="9" numFmtId="3" xfId="0" applyFont="1" applyNumberFormat="1"/>
    <xf borderId="5" fillId="0" fontId="10" numFmtId="0" xfId="0" applyAlignment="1" applyBorder="1" applyFont="1">
      <alignment readingOrder="0" shrinkToFit="0" wrapText="1"/>
    </xf>
    <xf borderId="5" fillId="0" fontId="10" numFmtId="165" xfId="0" applyAlignment="1" applyBorder="1" applyFont="1" applyNumberFormat="1">
      <alignment horizontal="center" readingOrder="0" shrinkToFit="0" wrapText="1"/>
    </xf>
    <xf borderId="5" fillId="0" fontId="10" numFmtId="0" xfId="0" applyAlignment="1" applyBorder="1" applyFont="1">
      <alignment horizontal="center" shrinkToFit="0" wrapText="1"/>
    </xf>
    <xf borderId="7" fillId="7" fontId="10" numFmtId="9" xfId="0" applyAlignment="1" applyBorder="1" applyFill="1" applyFont="1" applyNumberFormat="1">
      <alignment horizontal="center" readingOrder="0" shrinkToFit="0" wrapText="1"/>
    </xf>
    <xf borderId="8" fillId="0" fontId="1" numFmtId="9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9" fillId="0" fontId="1" numFmtId="0" xfId="0" applyAlignment="1" applyBorder="1" applyFont="1">
      <alignment vertical="bottom"/>
    </xf>
    <xf borderId="9" fillId="4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7" fillId="8" fontId="10" numFmtId="9" xfId="0" applyAlignment="1" applyBorder="1" applyFill="1" applyFont="1" applyNumberFormat="1">
      <alignment horizontal="center" readingOrder="0" shrinkToFit="0" wrapText="1"/>
    </xf>
    <xf borderId="9" fillId="9" fontId="1" numFmtId="0" xfId="0" applyAlignment="1" applyBorder="1" applyFill="1" applyFont="1">
      <alignment vertical="bottom"/>
    </xf>
    <xf borderId="9" fillId="10" fontId="1" numFmtId="0" xfId="0" applyAlignment="1" applyBorder="1" applyFill="1" applyFont="1">
      <alignment vertical="bottom"/>
    </xf>
    <xf borderId="7" fillId="11" fontId="10" numFmtId="9" xfId="0" applyAlignment="1" applyBorder="1" applyFill="1" applyFont="1" applyNumberFormat="1">
      <alignment horizontal="center" readingOrder="0" shrinkToFit="0" wrapText="1"/>
    </xf>
    <xf borderId="7" fillId="12" fontId="10" numFmtId="9" xfId="0" applyAlignment="1" applyBorder="1" applyFill="1" applyFont="1" applyNumberFormat="1">
      <alignment horizontal="center" readingOrder="0" shrinkToFit="0" wrapText="1"/>
    </xf>
    <xf borderId="7" fillId="13" fontId="10" numFmtId="9" xfId="0" applyAlignment="1" applyBorder="1" applyFill="1" applyFont="1" applyNumberFormat="1">
      <alignment horizontal="center" readingOrder="0" shrinkToFit="0" wrapText="1"/>
    </xf>
    <xf borderId="6" fillId="6" fontId="9" numFmtId="0" xfId="0" applyAlignment="1" applyBorder="1" applyFont="1">
      <alignment horizontal="center"/>
    </xf>
    <xf borderId="0" fillId="6" fontId="1" numFmtId="0" xfId="0" applyAlignment="1" applyFont="1">
      <alignment vertical="bottom"/>
    </xf>
    <xf borderId="0" fillId="6" fontId="1" numFmtId="164" xfId="0" applyAlignment="1" applyFont="1" applyNumberFormat="1">
      <alignment vertical="bottom"/>
    </xf>
    <xf borderId="0" fillId="6" fontId="1" numFmtId="3" xfId="0" applyAlignment="1" applyFont="1" applyNumberFormat="1">
      <alignment vertical="bottom"/>
    </xf>
    <xf borderId="5" fillId="0" fontId="10" numFmtId="165" xfId="0" applyAlignment="1" applyBorder="1" applyFont="1" applyNumberFormat="1">
      <alignment horizontal="center" readingOrder="0" shrinkToFit="0" wrapText="1"/>
    </xf>
    <xf borderId="7" fillId="14" fontId="10" numFmtId="9" xfId="0" applyAlignment="1" applyBorder="1" applyFill="1" applyFont="1" applyNumberFormat="1">
      <alignment horizontal="center" readingOrder="0" shrinkToFit="0" wrapText="1"/>
    </xf>
    <xf borderId="7" fillId="15" fontId="10" numFmtId="9" xfId="0" applyAlignment="1" applyBorder="1" applyFill="1" applyFont="1" applyNumberFormat="1">
      <alignment horizontal="center" readingOrder="0" shrinkToFit="0" wrapText="1"/>
    </xf>
    <xf borderId="7" fillId="2" fontId="10" numFmtId="9" xfId="0" applyAlignment="1" applyBorder="1" applyFont="1" applyNumberFormat="1">
      <alignment horizontal="center" readingOrder="0" shrinkToFit="0" wrapText="1"/>
    </xf>
    <xf borderId="11" fillId="6" fontId="1" numFmtId="0" xfId="0" applyAlignment="1" applyBorder="1" applyFont="1">
      <alignment vertical="bottom"/>
    </xf>
    <xf borderId="1" fillId="0" fontId="1" numFmtId="0" xfId="0" applyBorder="1" applyFont="1"/>
    <xf borderId="1" fillId="0" fontId="3" numFmtId="0" xfId="0" applyBorder="1" applyFont="1"/>
    <xf borderId="3" fillId="2" fontId="2" numFmtId="0" xfId="0" applyBorder="1" applyFont="1"/>
    <xf borderId="0" fillId="0" fontId="1" numFmtId="14" xfId="0" applyFont="1" applyNumberFormat="1"/>
    <xf borderId="0" fillId="2" fontId="11" numFmtId="0" xfId="0" applyAlignment="1" applyFont="1">
      <alignment horizontal="left" readingOrder="0"/>
    </xf>
    <xf borderId="0" fillId="5" fontId="7" numFmtId="0" xfId="0" applyAlignment="1" applyFont="1">
      <alignment horizontal="center"/>
    </xf>
    <xf borderId="0" fillId="5" fontId="7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6" fontId="8" numFmtId="0" xfId="0" applyAlignment="1" applyFont="1">
      <alignment readingOrder="0"/>
    </xf>
    <xf borderId="0" fillId="0" fontId="9" numFmtId="0" xfId="0" applyFont="1"/>
    <xf borderId="0" fillId="0" fontId="9" numFmtId="164" xfId="0" applyFont="1" applyNumberFormat="1"/>
    <xf borderId="0" fillId="0" fontId="9" numFmtId="3" xfId="0" applyFont="1" applyNumberFormat="1"/>
    <xf borderId="0" fillId="0" fontId="10" numFmtId="0" xfId="0" applyAlignment="1" applyFont="1">
      <alignment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2" fontId="10" numFmtId="165" xfId="0" applyAlignment="1" applyFont="1" applyNumberFormat="1">
      <alignment horizontal="center" readingOrder="0" shrinkToFit="0" wrapText="1"/>
    </xf>
    <xf borderId="0" fillId="9" fontId="10" numFmtId="0" xfId="0" applyAlignment="1" applyFont="1">
      <alignment horizontal="center" readingOrder="0" shrinkToFit="0" wrapText="1"/>
    </xf>
    <xf borderId="0" fillId="7" fontId="10" numFmtId="9" xfId="0" applyAlignment="1" applyFont="1" applyNumberFormat="1">
      <alignment horizontal="center" readingOrder="0" shrinkToFit="0" wrapText="1"/>
    </xf>
    <xf borderId="0" fillId="2" fontId="10" numFmtId="166" xfId="0" applyAlignment="1" applyFont="1" applyNumberFormat="1">
      <alignment horizontal="center" readingOrder="0" shrinkToFit="0" wrapText="1"/>
    </xf>
    <xf borderId="0" fillId="8" fontId="10" numFmtId="9" xfId="0" applyAlignment="1" applyFont="1" applyNumberFormat="1">
      <alignment horizontal="center" readingOrder="0" shrinkToFit="0" wrapText="1"/>
    </xf>
    <xf borderId="0" fillId="11" fontId="10" numFmtId="9" xfId="0" applyAlignment="1" applyFont="1" applyNumberFormat="1">
      <alignment horizontal="center" readingOrder="0" shrinkToFit="0" wrapText="1"/>
    </xf>
    <xf borderId="0" fillId="12" fontId="10" numFmtId="9" xfId="0" applyAlignment="1" applyFont="1" applyNumberFormat="1">
      <alignment horizontal="center" readingOrder="0" shrinkToFit="0" wrapText="1"/>
    </xf>
    <xf borderId="0" fillId="6" fontId="9" numFmtId="0" xfId="0" applyAlignment="1" applyFont="1">
      <alignment horizontal="center"/>
    </xf>
    <xf borderId="0" fillId="0" fontId="10" numFmtId="165" xfId="0" applyAlignment="1" applyFont="1" applyNumberFormat="1">
      <alignment horizontal="center" readingOrder="0" shrinkToFit="0" wrapText="1"/>
    </xf>
    <xf borderId="0" fillId="2" fontId="10" numFmtId="165" xfId="0" applyAlignment="1" applyFont="1" applyNumberFormat="1">
      <alignment horizontal="center" readingOrder="0" shrinkToFit="0" wrapText="1"/>
    </xf>
    <xf borderId="0" fillId="14" fontId="10" numFmtId="9" xfId="0" applyAlignment="1" applyFont="1" applyNumberFormat="1">
      <alignment horizontal="center" readingOrder="0" shrinkToFit="0" wrapText="1"/>
    </xf>
    <xf borderId="0" fillId="15" fontId="10" numFmtId="9" xfId="0" applyAlignment="1" applyFont="1" applyNumberFormat="1">
      <alignment horizontal="center" readingOrder="0" shrinkToFit="0" wrapText="1"/>
    </xf>
    <xf borderId="0" fillId="2" fontId="10" numFmtId="9" xfId="0" applyAlignment="1" applyFont="1" applyNumberFormat="1">
      <alignment horizontal="center" readingOrder="0" shrinkToFit="0" wrapText="1"/>
    </xf>
    <xf borderId="3" fillId="2" fontId="12" numFmtId="0" xfId="0" applyAlignment="1" applyBorder="1" applyFont="1">
      <alignment readingOrder="0" vertical="center"/>
    </xf>
    <xf borderId="3" fillId="2" fontId="13" numFmtId="0" xfId="0" applyAlignment="1" applyBorder="1" applyFont="1">
      <alignment readingOrder="0" vertical="center"/>
    </xf>
    <xf borderId="0" fillId="2" fontId="14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9" fontId="15" numFmtId="0" xfId="0" applyAlignment="1" applyFont="1">
      <alignment horizontal="center"/>
    </xf>
    <xf borderId="0" fillId="2" fontId="1" numFmtId="0" xfId="0" applyAlignment="1" applyFont="1">
      <alignment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000000">
                <a:alpha val="0"/>
              </a:srgbClr>
            </a:solidFill>
            <a:ln cmpd="sng">
              <a:noFill/>
            </a:ln>
          </c:spPr>
          <c:cat>
            <c:strRef>
              <c:f>'Gantt Chart w % Complete'!$B$10:$B$30</c:f>
            </c:strRef>
          </c:cat>
          <c:val>
            <c:numRef>
              <c:f>'Gantt Chart w % Complete'!$D$10:$D$30</c:f>
              <c:numCache/>
            </c:numRef>
          </c:val>
        </c:ser>
        <c:ser>
          <c:idx val="1"/>
          <c:order val="1"/>
          <c:spPr>
            <a:solidFill>
              <a:srgbClr val="5CBCD6"/>
            </a:solidFill>
            <a:ln cmpd="sng">
              <a:noFill/>
            </a:ln>
          </c:spPr>
          <c:cat>
            <c:strRef>
              <c:f>'Gantt Chart w % Complete'!$B$10:$B$30</c:f>
            </c:strRef>
          </c:cat>
          <c:val>
            <c:numRef>
              <c:f>'Gantt Chart w % Complete'!$G$10:$G$30</c:f>
              <c:numCache/>
            </c:numRef>
          </c:val>
        </c:ser>
        <c:ser>
          <c:idx val="2"/>
          <c:order val="2"/>
          <c:spPr>
            <a:solidFill>
              <a:srgbClr val="6AD9F8"/>
            </a:solidFill>
            <a:ln cmpd="sng">
              <a:noFill/>
            </a:ln>
          </c:spPr>
          <c:cat>
            <c:strRef>
              <c:f>'Gantt Chart w % Complete'!$B$10:$B$30</c:f>
            </c:strRef>
          </c:cat>
          <c:val>
            <c:numRef>
              <c:f>'Gantt Chart w % Complete'!$H$10:$H$30</c:f>
              <c:numCache/>
            </c:numRef>
          </c:val>
        </c:ser>
        <c:overlap val="100"/>
        <c:axId val="690677113"/>
        <c:axId val="2143848187"/>
      </c:barChart>
      <c:catAx>
        <c:axId val="6906771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3848187"/>
      </c:catAx>
      <c:valAx>
        <c:axId val="2143848187"/>
        <c:scaling>
          <c:orientation val="minMax"/>
          <c:max val="3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of the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067711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000000">
                <a:alpha val="0"/>
              </a:srgbClr>
            </a:solidFill>
            <a:ln cmpd="sng">
              <a:noFill/>
            </a:ln>
          </c:spPr>
          <c:cat>
            <c:strRef>
              <c:f>'Basic Gantt Chart'!$B$9:$B$29</c:f>
            </c:strRef>
          </c:cat>
          <c:val>
            <c:numRef>
              <c:f>'Basic Gantt Chart'!$E$9:$E$29</c:f>
              <c:numCache/>
            </c:numRef>
          </c:val>
        </c:ser>
        <c:ser>
          <c:idx val="1"/>
          <c:order val="1"/>
          <c:spPr>
            <a:solidFill>
              <a:srgbClr val="5CBCD6"/>
            </a:solidFill>
            <a:ln cmpd="sng">
              <a:noFill/>
            </a:ln>
          </c:spPr>
          <c:cat>
            <c:strRef>
              <c:f>'Basic Gantt Chart'!$B$9:$B$29</c:f>
            </c:strRef>
          </c:cat>
          <c:val>
            <c:numRef>
              <c:f>'Basic Gantt Chart'!$F$9:$F$29</c:f>
              <c:numCache/>
            </c:numRef>
          </c:val>
        </c:ser>
        <c:overlap val="100"/>
        <c:axId val="1933222642"/>
        <c:axId val="31735348"/>
      </c:barChart>
      <c:catAx>
        <c:axId val="19332226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735348"/>
      </c:catAx>
      <c:valAx>
        <c:axId val="31735348"/>
        <c:scaling>
          <c:orientation val="minMax"/>
          <c:max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of the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322264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7</xdr:row>
      <xdr:rowOff>0</xdr:rowOff>
    </xdr:from>
    <xdr:ext cx="8391525" cy="5191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6</xdr:row>
      <xdr:rowOff>0</xdr:rowOff>
    </xdr:from>
    <xdr:ext cx="8391525" cy="5191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31.38"/>
    <col customWidth="1" min="3" max="9" width="10.75"/>
    <col customWidth="1" min="10" max="10" width="9.5"/>
    <col customWidth="1" min="11" max="12" width="6.38"/>
    <col customWidth="1" min="13" max="14" width="3.25"/>
    <col customWidth="1" min="15" max="15" width="5.63"/>
    <col customWidth="1" min="16" max="34" width="4.0"/>
    <col customWidth="1" min="35" max="36" width="6.38"/>
  </cols>
  <sheetData>
    <row r="1">
      <c r="A1" s="1" t="str">
        <f>IMAGE("https://www.teamgantt.com/blog/wp-content/uploads/2018/02/Template-CTA-Banner.png", 3)
</f>
        <v>#REF!</v>
      </c>
      <c r="B1" s="1"/>
      <c r="C1" s="1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2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B2" s="1"/>
      <c r="C2" s="1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2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54" t="s">
        <v>0</v>
      </c>
      <c r="B3" s="54"/>
      <c r="C3" s="54"/>
      <c r="D3" s="54"/>
      <c r="E3" s="81" t="str">
        <f>HYPERLINK("https://www.teamgantt.com/signup?utm_source=google-sheets-gantt-template&amp;utm_medium=download&amp;utm_campaign=google-sheets-gantt-template","Build better gantt charts with TeamGantt for FREE!")</f>
        <v>Build better gantt charts with TeamGantt for FREE!</v>
      </c>
      <c r="F3" s="5"/>
      <c r="G3" s="5"/>
      <c r="H3" s="5"/>
      <c r="I3" s="5"/>
      <c r="J3" s="82"/>
      <c r="K3" s="82"/>
      <c r="L3" s="82"/>
      <c r="M3" s="7"/>
      <c r="N3" s="7"/>
      <c r="O3" s="7"/>
      <c r="P3" s="7"/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6"/>
      <c r="AJ3" s="6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83" t="s">
        <v>68</v>
      </c>
      <c r="B5" s="1"/>
      <c r="C5" s="1"/>
      <c r="G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56" t="s">
        <v>53</v>
      </c>
      <c r="B6" s="84"/>
      <c r="C6" s="84"/>
      <c r="D6" s="84"/>
      <c r="E6" s="84"/>
      <c r="F6" s="84"/>
      <c r="G6" s="84"/>
      <c r="H6" s="84"/>
      <c r="I6" s="84"/>
      <c r="J6" s="84"/>
      <c r="K6" s="60"/>
      <c r="L6" s="60"/>
      <c r="M6" s="60"/>
      <c r="N6" s="60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0"/>
    </row>
    <row r="7">
      <c r="A7" s="11"/>
      <c r="B7" s="11" t="s">
        <v>1</v>
      </c>
      <c r="C7" s="11" t="s">
        <v>2</v>
      </c>
      <c r="D7" s="11" t="s">
        <v>69</v>
      </c>
      <c r="E7" s="11" t="s">
        <v>3</v>
      </c>
      <c r="F7" s="11" t="s">
        <v>55</v>
      </c>
      <c r="G7" s="11" t="s">
        <v>70</v>
      </c>
      <c r="H7" s="11" t="s">
        <v>71</v>
      </c>
      <c r="I7" s="11" t="s">
        <v>5</v>
      </c>
      <c r="J7" s="11" t="s">
        <v>6</v>
      </c>
      <c r="K7" s="57"/>
      <c r="P7" s="58" t="s">
        <v>7</v>
      </c>
      <c r="U7" s="59" t="s">
        <v>8</v>
      </c>
      <c r="Z7" s="58" t="s">
        <v>9</v>
      </c>
      <c r="AE7" s="59" t="s">
        <v>10</v>
      </c>
      <c r="AJ7" s="60"/>
    </row>
    <row r="8">
      <c r="K8" s="60"/>
      <c r="L8" s="60"/>
      <c r="M8" s="60"/>
      <c r="N8" s="61"/>
      <c r="O8" s="60"/>
      <c r="P8" s="60"/>
      <c r="Q8" s="60"/>
      <c r="R8" s="60"/>
      <c r="S8" s="61"/>
      <c r="T8" s="60"/>
      <c r="U8" s="60"/>
      <c r="V8" s="60"/>
      <c r="W8" s="60"/>
      <c r="X8" s="61"/>
      <c r="Y8" s="60"/>
      <c r="Z8" s="60"/>
      <c r="AA8" s="60"/>
      <c r="AB8" s="60"/>
      <c r="AC8" s="61"/>
      <c r="AD8" s="60"/>
      <c r="AE8" s="60"/>
      <c r="AF8" s="60"/>
      <c r="AG8" s="60"/>
      <c r="AH8" s="61"/>
      <c r="AI8" s="60"/>
      <c r="AJ8" s="60"/>
    </row>
    <row r="9">
      <c r="A9" s="62" t="s">
        <v>24</v>
      </c>
      <c r="B9" s="24"/>
      <c r="C9" s="24"/>
      <c r="D9" s="24"/>
      <c r="E9" s="24"/>
      <c r="F9" s="24"/>
      <c r="G9" s="24"/>
      <c r="H9" s="24"/>
      <c r="I9" s="24"/>
      <c r="J9" s="24"/>
      <c r="K9" s="63"/>
      <c r="L9" s="64"/>
      <c r="M9" s="65"/>
      <c r="N9" s="65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</row>
    <row r="10">
      <c r="B10" s="66" t="s">
        <v>25</v>
      </c>
      <c r="C10" s="67">
        <v>43105.0</v>
      </c>
      <c r="D10" s="69">
        <f t="shared" ref="D10:D14" si="1">DAY(C10)</f>
        <v>5</v>
      </c>
      <c r="E10" s="68">
        <v>43108.0</v>
      </c>
      <c r="F10" s="69">
        <f>IF(E10="","",SUM(G10:H10))</f>
        <v>3</v>
      </c>
      <c r="G10" s="85">
        <f t="shared" ref="G10:G14" si="2">IF(((E10)=""),"",(J10)*(E10-C10))</f>
        <v>3</v>
      </c>
      <c r="H10" s="69">
        <f t="shared" ref="H10:H14" si="3">IF(G10="","",(E10-C10)-G10)</f>
        <v>0</v>
      </c>
      <c r="I10" s="66" t="s">
        <v>26</v>
      </c>
      <c r="J10" s="70">
        <v>1.0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B11" s="66" t="s">
        <v>56</v>
      </c>
      <c r="C11" s="67">
        <v>43108.0</v>
      </c>
      <c r="D11" s="69">
        <f t="shared" si="1"/>
        <v>8</v>
      </c>
      <c r="E11" s="71">
        <v>43111.0</v>
      </c>
      <c r="F11" s="69">
        <f t="shared" ref="F11:F14" si="4">IF(ISBLANK(C11),"", (E11-C11))</f>
        <v>3</v>
      </c>
      <c r="G11" s="85">
        <f t="shared" si="2"/>
        <v>2.4</v>
      </c>
      <c r="H11" s="69">
        <f t="shared" si="3"/>
        <v>0.6</v>
      </c>
      <c r="I11" s="66" t="s">
        <v>27</v>
      </c>
      <c r="J11" s="72">
        <v>0.8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B12" s="66" t="s">
        <v>28</v>
      </c>
      <c r="C12" s="67">
        <v>43111.0</v>
      </c>
      <c r="D12" s="69">
        <f t="shared" si="1"/>
        <v>11</v>
      </c>
      <c r="E12" s="68">
        <v>43116.0</v>
      </c>
      <c r="F12" s="69">
        <f t="shared" si="4"/>
        <v>5</v>
      </c>
      <c r="G12" s="85">
        <f t="shared" si="2"/>
        <v>3</v>
      </c>
      <c r="H12" s="69">
        <f t="shared" si="3"/>
        <v>2</v>
      </c>
      <c r="I12" s="66" t="s">
        <v>29</v>
      </c>
      <c r="J12" s="70">
        <v>0.6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B13" s="66" t="s">
        <v>30</v>
      </c>
      <c r="C13" s="67">
        <v>43114.0</v>
      </c>
      <c r="D13" s="69">
        <f t="shared" si="1"/>
        <v>14</v>
      </c>
      <c r="E13" s="68">
        <v>43119.0</v>
      </c>
      <c r="F13" s="69">
        <f t="shared" si="4"/>
        <v>5</v>
      </c>
      <c r="G13" s="85">
        <f t="shared" si="2"/>
        <v>2</v>
      </c>
      <c r="H13" s="69">
        <f t="shared" si="3"/>
        <v>3</v>
      </c>
      <c r="I13" s="66" t="s">
        <v>31</v>
      </c>
      <c r="J13" s="73">
        <v>0.4</v>
      </c>
    </row>
    <row r="14">
      <c r="B14" s="66" t="s">
        <v>32</v>
      </c>
      <c r="C14" s="67">
        <v>43117.0</v>
      </c>
      <c r="D14" s="69">
        <f t="shared" si="1"/>
        <v>17</v>
      </c>
      <c r="E14" s="68">
        <v>43123.0</v>
      </c>
      <c r="F14" s="69">
        <f t="shared" si="4"/>
        <v>6</v>
      </c>
      <c r="G14" s="85">
        <f t="shared" si="2"/>
        <v>1.2</v>
      </c>
      <c r="H14" s="69">
        <f t="shared" si="3"/>
        <v>4.8</v>
      </c>
      <c r="I14" s="66" t="s">
        <v>33</v>
      </c>
      <c r="J14" s="74">
        <v>0.2</v>
      </c>
    </row>
    <row r="15">
      <c r="A15" s="62" t="s">
        <v>36</v>
      </c>
      <c r="B15" s="75"/>
      <c r="C15" s="75"/>
      <c r="D15" s="75"/>
      <c r="E15" s="75"/>
      <c r="F15" s="75"/>
      <c r="G15" s="75"/>
      <c r="H15" s="75"/>
      <c r="I15" s="75"/>
      <c r="J15" s="75"/>
    </row>
    <row r="16">
      <c r="B16" s="66" t="s">
        <v>37</v>
      </c>
      <c r="C16" s="76">
        <v>43109.0</v>
      </c>
      <c r="D16" s="69">
        <f t="shared" ref="D16:D19" si="5">DAY(C16)</f>
        <v>9</v>
      </c>
      <c r="E16" s="77">
        <v>43112.0</v>
      </c>
      <c r="F16" s="69">
        <f t="shared" ref="F16:F19" si="6">IF(ISBLANK(C16),"", (E16-C16))</f>
        <v>3</v>
      </c>
      <c r="G16" s="85">
        <f t="shared" ref="G16:G19" si="7">IF(((E16)=""),"",(J16)*(E16-C16))</f>
        <v>3</v>
      </c>
      <c r="H16" s="69">
        <f t="shared" ref="H16:H19" si="8">IF(G16="","",(E16-C16)-G16)</f>
        <v>0</v>
      </c>
      <c r="I16" s="66" t="s">
        <v>26</v>
      </c>
      <c r="J16" s="78">
        <v>1.0</v>
      </c>
    </row>
    <row r="17">
      <c r="B17" s="66" t="s">
        <v>38</v>
      </c>
      <c r="C17" s="76">
        <v>43112.0</v>
      </c>
      <c r="D17" s="69">
        <f t="shared" si="5"/>
        <v>12</v>
      </c>
      <c r="E17" s="77">
        <v>43119.0</v>
      </c>
      <c r="F17" s="69">
        <f t="shared" si="6"/>
        <v>7</v>
      </c>
      <c r="G17" s="85">
        <f t="shared" si="7"/>
        <v>5.6</v>
      </c>
      <c r="H17" s="69">
        <f t="shared" si="8"/>
        <v>1.4</v>
      </c>
      <c r="I17" s="66" t="s">
        <v>27</v>
      </c>
      <c r="J17" s="79">
        <v>0.8</v>
      </c>
    </row>
    <row r="18">
      <c r="B18" s="66" t="s">
        <v>57</v>
      </c>
      <c r="C18" s="76">
        <v>43117.0</v>
      </c>
      <c r="D18" s="69">
        <f t="shared" si="5"/>
        <v>17</v>
      </c>
      <c r="E18" s="77">
        <v>43119.0</v>
      </c>
      <c r="F18" s="69">
        <f t="shared" si="6"/>
        <v>2</v>
      </c>
      <c r="G18" s="85">
        <f t="shared" si="7"/>
        <v>1.2</v>
      </c>
      <c r="H18" s="69">
        <f t="shared" si="8"/>
        <v>0.8</v>
      </c>
      <c r="I18" s="66" t="s">
        <v>29</v>
      </c>
      <c r="J18" s="80">
        <v>0.6</v>
      </c>
    </row>
    <row r="19">
      <c r="B19" s="66" t="s">
        <v>58</v>
      </c>
      <c r="C19" s="76">
        <v>43122.0</v>
      </c>
      <c r="D19" s="69">
        <f t="shared" si="5"/>
        <v>22</v>
      </c>
      <c r="E19" s="77">
        <v>43126.0</v>
      </c>
      <c r="F19" s="69">
        <f t="shared" si="6"/>
        <v>4</v>
      </c>
      <c r="G19" s="85">
        <f t="shared" si="7"/>
        <v>1.6</v>
      </c>
      <c r="H19" s="69">
        <f t="shared" si="8"/>
        <v>2.4</v>
      </c>
      <c r="I19" s="66" t="s">
        <v>31</v>
      </c>
      <c r="J19" s="80">
        <v>0.4</v>
      </c>
    </row>
    <row r="20">
      <c r="A20" s="62" t="s">
        <v>41</v>
      </c>
      <c r="B20" s="75"/>
      <c r="C20" s="75"/>
      <c r="D20" s="75"/>
      <c r="E20" s="75"/>
      <c r="F20" s="75"/>
      <c r="G20" s="75"/>
      <c r="H20" s="75"/>
      <c r="I20" s="75"/>
      <c r="J20" s="75"/>
    </row>
    <row r="21">
      <c r="B21" s="66" t="s">
        <v>59</v>
      </c>
      <c r="C21" s="76">
        <v>43115.0</v>
      </c>
      <c r="D21" s="69">
        <f t="shared" ref="D21:D25" si="9">DAY(C21)</f>
        <v>15</v>
      </c>
      <c r="E21" s="77">
        <v>43119.0</v>
      </c>
      <c r="F21" s="69">
        <f t="shared" ref="F21:F25" si="10">IF(ISBLANK(C21),"", (E21-C21))</f>
        <v>4</v>
      </c>
      <c r="G21" s="85">
        <f t="shared" ref="G21:G25" si="11">IF(((E21)=""),"",(J21)*(E21-C21))</f>
        <v>4</v>
      </c>
      <c r="H21" s="69">
        <f t="shared" ref="H21:H25" si="12">IF(G21="","",(E21-C21)-G21)</f>
        <v>0</v>
      </c>
      <c r="I21" s="66" t="s">
        <v>26</v>
      </c>
      <c r="J21" s="80">
        <v>1.0</v>
      </c>
    </row>
    <row r="22">
      <c r="B22" s="66" t="s">
        <v>60</v>
      </c>
      <c r="C22" s="76">
        <v>43122.0</v>
      </c>
      <c r="D22" s="69">
        <f t="shared" si="9"/>
        <v>22</v>
      </c>
      <c r="E22" s="77">
        <v>43123.0</v>
      </c>
      <c r="F22" s="69">
        <f t="shared" si="10"/>
        <v>1</v>
      </c>
      <c r="G22" s="85">
        <f t="shared" si="11"/>
        <v>0.8</v>
      </c>
      <c r="H22" s="69">
        <f t="shared" si="12"/>
        <v>0.2</v>
      </c>
      <c r="I22" s="66" t="s">
        <v>27</v>
      </c>
      <c r="J22" s="80">
        <v>0.8</v>
      </c>
    </row>
    <row r="23">
      <c r="B23" s="66" t="s">
        <v>61</v>
      </c>
      <c r="C23" s="76">
        <v>43122.0</v>
      </c>
      <c r="D23" s="69">
        <f t="shared" si="9"/>
        <v>22</v>
      </c>
      <c r="E23" s="77">
        <v>43126.0</v>
      </c>
      <c r="F23" s="69">
        <f t="shared" si="10"/>
        <v>4</v>
      </c>
      <c r="G23" s="85">
        <f t="shared" si="11"/>
        <v>2.4</v>
      </c>
      <c r="H23" s="69">
        <f t="shared" si="12"/>
        <v>1.6</v>
      </c>
      <c r="I23" s="66" t="s">
        <v>29</v>
      </c>
      <c r="J23" s="80">
        <v>0.6</v>
      </c>
    </row>
    <row r="24">
      <c r="B24" s="66" t="s">
        <v>62</v>
      </c>
      <c r="C24" s="76">
        <v>43126.0</v>
      </c>
      <c r="D24" s="69">
        <f t="shared" si="9"/>
        <v>26</v>
      </c>
      <c r="E24" s="77">
        <v>43129.0</v>
      </c>
      <c r="F24" s="69">
        <f t="shared" si="10"/>
        <v>3</v>
      </c>
      <c r="G24" s="85">
        <f t="shared" si="11"/>
        <v>1.2</v>
      </c>
      <c r="H24" s="69">
        <f t="shared" si="12"/>
        <v>1.8</v>
      </c>
      <c r="I24" s="66" t="s">
        <v>31</v>
      </c>
      <c r="J24" s="80">
        <v>0.4</v>
      </c>
    </row>
    <row r="25">
      <c r="B25" s="66" t="s">
        <v>63</v>
      </c>
      <c r="C25" s="76">
        <v>43122.0</v>
      </c>
      <c r="D25" s="69">
        <f t="shared" si="9"/>
        <v>22</v>
      </c>
      <c r="E25" s="77">
        <v>43125.0</v>
      </c>
      <c r="F25" s="69">
        <f t="shared" si="10"/>
        <v>3</v>
      </c>
      <c r="G25" s="85">
        <f t="shared" si="11"/>
        <v>0.6</v>
      </c>
      <c r="H25" s="69">
        <f t="shared" si="12"/>
        <v>2.4</v>
      </c>
      <c r="I25" s="66" t="s">
        <v>33</v>
      </c>
      <c r="J25" s="80">
        <v>0.2</v>
      </c>
    </row>
    <row r="26">
      <c r="A26" s="62" t="s">
        <v>48</v>
      </c>
      <c r="B26" s="75"/>
      <c r="C26" s="75"/>
      <c r="D26" s="75"/>
      <c r="E26" s="75"/>
      <c r="F26" s="75"/>
      <c r="G26" s="75"/>
      <c r="H26" s="75"/>
      <c r="I26" s="75"/>
      <c r="J26" s="75"/>
    </row>
    <row r="27">
      <c r="B27" s="66" t="s">
        <v>64</v>
      </c>
      <c r="C27" s="76">
        <v>43115.0</v>
      </c>
      <c r="D27" s="69">
        <f t="shared" ref="D27:D30" si="13">DAY(C27)</f>
        <v>15</v>
      </c>
      <c r="E27" s="77">
        <v>43124.0</v>
      </c>
      <c r="F27" s="69">
        <f t="shared" ref="F27:F30" si="14">IF(ISBLANK(C27),"", (E27-C27))</f>
        <v>9</v>
      </c>
      <c r="G27" s="85">
        <f t="shared" ref="G27:G30" si="15">IF(((E27)=""),"",(J27)*(E27-C27))</f>
        <v>9</v>
      </c>
      <c r="H27" s="69">
        <f t="shared" ref="H27:H30" si="16">IF(G27="","",(E27-C27)-G27)</f>
        <v>0</v>
      </c>
      <c r="I27" s="66" t="s">
        <v>26</v>
      </c>
      <c r="J27" s="80">
        <v>1.0</v>
      </c>
    </row>
    <row r="28">
      <c r="B28" s="66" t="s">
        <v>65</v>
      </c>
      <c r="C28" s="76">
        <v>43125.0</v>
      </c>
      <c r="D28" s="69">
        <f t="shared" si="13"/>
        <v>25</v>
      </c>
      <c r="E28" s="77">
        <v>43130.0</v>
      </c>
      <c r="F28" s="69">
        <f t="shared" si="14"/>
        <v>5</v>
      </c>
      <c r="G28" s="85">
        <f t="shared" si="15"/>
        <v>4</v>
      </c>
      <c r="H28" s="69">
        <f t="shared" si="16"/>
        <v>1</v>
      </c>
      <c r="I28" s="66" t="s">
        <v>27</v>
      </c>
      <c r="J28" s="80">
        <v>0.8</v>
      </c>
    </row>
    <row r="29">
      <c r="B29" s="66" t="s">
        <v>66</v>
      </c>
      <c r="C29" s="76">
        <v>43124.0</v>
      </c>
      <c r="D29" s="69">
        <f t="shared" si="13"/>
        <v>24</v>
      </c>
      <c r="E29" s="77">
        <v>43130.0</v>
      </c>
      <c r="F29" s="69">
        <f t="shared" si="14"/>
        <v>6</v>
      </c>
      <c r="G29" s="85">
        <f t="shared" si="15"/>
        <v>3.6</v>
      </c>
      <c r="H29" s="69">
        <f t="shared" si="16"/>
        <v>2.4</v>
      </c>
      <c r="I29" s="66" t="s">
        <v>31</v>
      </c>
      <c r="J29" s="80">
        <v>0.6</v>
      </c>
    </row>
    <row r="30">
      <c r="B30" s="66" t="s">
        <v>67</v>
      </c>
      <c r="C30" s="76">
        <v>43130.0</v>
      </c>
      <c r="D30" s="69">
        <f t="shared" si="13"/>
        <v>30</v>
      </c>
      <c r="E30" s="77">
        <v>43131.0</v>
      </c>
      <c r="F30" s="69">
        <f t="shared" si="14"/>
        <v>1</v>
      </c>
      <c r="G30" s="85">
        <f t="shared" si="15"/>
        <v>0</v>
      </c>
      <c r="H30" s="69">
        <f t="shared" si="16"/>
        <v>1</v>
      </c>
      <c r="I30" s="66" t="s">
        <v>33</v>
      </c>
      <c r="J30" s="80">
        <v>0.0</v>
      </c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86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16">
    <mergeCell ref="G7:G8"/>
    <mergeCell ref="H7:H8"/>
    <mergeCell ref="J7:J8"/>
    <mergeCell ref="K7:O7"/>
    <mergeCell ref="P7:T7"/>
    <mergeCell ref="U7:Y7"/>
    <mergeCell ref="Z7:AD7"/>
    <mergeCell ref="AE7:AI7"/>
    <mergeCell ref="E3:I3"/>
    <mergeCell ref="A7:A8"/>
    <mergeCell ref="B7:B8"/>
    <mergeCell ref="C7:C8"/>
    <mergeCell ref="D7:D8"/>
    <mergeCell ref="E7:E8"/>
    <mergeCell ref="F7:F8"/>
    <mergeCell ref="I7:I8"/>
  </mergeCells>
  <conditionalFormatting sqref="J10:J14 J16:J19 J21:J25 J27:J30">
    <cfRule type="colorScale" priority="1">
      <colorScale>
        <cfvo type="percent" val="0"/>
        <cfvo type="percent" val="100"/>
        <color rgb="FFFFFFFF"/>
        <color rgb="FF5CBCD6"/>
      </colorScale>
    </cfRule>
  </conditionalFormatting>
  <dataValidations>
    <dataValidation type="custom" allowBlank="1" showDropDown="1" sqref="C10:C14 E10:E14 E16:E19 E21:E25 C27:C30 E27:E30">
      <formula1>OR(NOT(ISERROR(DATEVALUE(C10))), AND(ISNUMBER(C10), LEFT(CELL("format", C10))="D"))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31.38"/>
    <col customWidth="1" min="3" max="7" width="10.75"/>
    <col customWidth="1" min="8" max="8" width="9.5"/>
    <col customWidth="1" min="9" max="10" width="6.38"/>
    <col customWidth="1" min="11" max="12" width="3.25"/>
    <col customWidth="1" min="13" max="13" width="5.63"/>
    <col customWidth="1" min="14" max="32" width="4.0"/>
    <col customWidth="1" min="33" max="34" width="6.38"/>
  </cols>
  <sheetData>
    <row r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  <c r="M1" s="2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1"/>
      <c r="B2" s="1"/>
      <c r="C2" s="1"/>
      <c r="D2" s="2"/>
      <c r="E2" s="2"/>
      <c r="F2" s="2"/>
      <c r="G2" s="2"/>
      <c r="H2" s="2"/>
      <c r="I2" s="1"/>
      <c r="J2" s="1"/>
      <c r="K2" s="1"/>
      <c r="L2" s="1"/>
      <c r="M2" s="2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54" t="s">
        <v>0</v>
      </c>
      <c r="B3" s="5"/>
      <c r="C3" s="5"/>
      <c r="D3" s="5"/>
      <c r="E3" s="5"/>
      <c r="F3" s="5"/>
      <c r="G3" s="5"/>
      <c r="H3" s="5"/>
      <c r="I3" s="6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6"/>
      <c r="AH3" s="6"/>
    </row>
    <row r="4">
      <c r="A4" s="5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56" t="s">
        <v>53</v>
      </c>
      <c r="B5" s="1"/>
      <c r="C5" s="1"/>
      <c r="E5" s="56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11"/>
      <c r="B6" s="11" t="s">
        <v>1</v>
      </c>
      <c r="C6" s="11" t="s">
        <v>2</v>
      </c>
      <c r="D6" s="11" t="s">
        <v>3</v>
      </c>
      <c r="E6" s="11" t="s">
        <v>54</v>
      </c>
      <c r="F6" s="11" t="s">
        <v>55</v>
      </c>
      <c r="G6" s="11" t="s">
        <v>5</v>
      </c>
      <c r="H6" s="11" t="s">
        <v>6</v>
      </c>
      <c r="I6" s="57"/>
      <c r="N6" s="58" t="s">
        <v>7</v>
      </c>
      <c r="S6" s="59" t="s">
        <v>8</v>
      </c>
      <c r="X6" s="58" t="s">
        <v>9</v>
      </c>
      <c r="AC6" s="59" t="s">
        <v>10</v>
      </c>
      <c r="AH6" s="60"/>
    </row>
    <row r="7">
      <c r="I7" s="60"/>
      <c r="J7" s="60"/>
      <c r="K7" s="60"/>
      <c r="L7" s="61"/>
      <c r="M7" s="60"/>
      <c r="N7" s="60"/>
      <c r="O7" s="60"/>
      <c r="P7" s="60"/>
      <c r="Q7" s="61"/>
      <c r="R7" s="60"/>
      <c r="S7" s="60"/>
      <c r="T7" s="60"/>
      <c r="U7" s="60"/>
      <c r="V7" s="61"/>
      <c r="W7" s="60"/>
      <c r="X7" s="60"/>
      <c r="Y7" s="60"/>
      <c r="Z7" s="60"/>
      <c r="AA7" s="61"/>
      <c r="AB7" s="60"/>
      <c r="AC7" s="60"/>
      <c r="AD7" s="60"/>
      <c r="AE7" s="60"/>
      <c r="AF7" s="61"/>
      <c r="AG7" s="60"/>
      <c r="AH7" s="60"/>
    </row>
    <row r="8">
      <c r="A8" s="62" t="s">
        <v>24</v>
      </c>
      <c r="B8" s="24"/>
      <c r="C8" s="24"/>
      <c r="D8" s="24"/>
      <c r="E8" s="24"/>
      <c r="F8" s="24"/>
      <c r="G8" s="24"/>
      <c r="H8" s="24"/>
      <c r="I8" s="63"/>
      <c r="J8" s="64"/>
      <c r="K8" s="65"/>
      <c r="L8" s="65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</row>
    <row r="9">
      <c r="B9" s="66" t="s">
        <v>25</v>
      </c>
      <c r="C9" s="67">
        <v>43105.0</v>
      </c>
      <c r="D9" s="68">
        <v>43108.0</v>
      </c>
      <c r="E9" s="69">
        <f t="shared" ref="E9:E13" si="1">int(C9)-int($C$9)</f>
        <v>0</v>
      </c>
      <c r="F9" s="69">
        <f t="shared" ref="F9:F13" si="2">IF(ISBLANK(C9),"", (D9-C9))</f>
        <v>3</v>
      </c>
      <c r="G9" s="66" t="s">
        <v>26</v>
      </c>
      <c r="H9" s="70">
        <v>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B10" s="66" t="s">
        <v>56</v>
      </c>
      <c r="C10" s="67">
        <v>43108.0</v>
      </c>
      <c r="D10" s="71">
        <v>43111.0</v>
      </c>
      <c r="E10" s="69">
        <f t="shared" si="1"/>
        <v>3</v>
      </c>
      <c r="F10" s="69">
        <f t="shared" si="2"/>
        <v>3</v>
      </c>
      <c r="G10" s="66" t="s">
        <v>27</v>
      </c>
      <c r="H10" s="72">
        <v>0.8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B11" s="66" t="s">
        <v>28</v>
      </c>
      <c r="C11" s="67">
        <v>43111.0</v>
      </c>
      <c r="D11" s="68">
        <v>43116.0</v>
      </c>
      <c r="E11" s="69">
        <f t="shared" si="1"/>
        <v>6</v>
      </c>
      <c r="F11" s="69">
        <f t="shared" si="2"/>
        <v>5</v>
      </c>
      <c r="G11" s="66" t="s">
        <v>29</v>
      </c>
      <c r="H11" s="70">
        <v>0.6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B12" s="66" t="s">
        <v>30</v>
      </c>
      <c r="C12" s="67">
        <v>43114.0</v>
      </c>
      <c r="D12" s="68">
        <v>43119.0</v>
      </c>
      <c r="E12" s="69">
        <f t="shared" si="1"/>
        <v>9</v>
      </c>
      <c r="F12" s="69">
        <f t="shared" si="2"/>
        <v>5</v>
      </c>
      <c r="G12" s="66" t="s">
        <v>31</v>
      </c>
      <c r="H12" s="73">
        <v>0.4</v>
      </c>
    </row>
    <row r="13">
      <c r="B13" s="66" t="s">
        <v>32</v>
      </c>
      <c r="C13" s="67">
        <v>43117.0</v>
      </c>
      <c r="D13" s="68">
        <v>43123.0</v>
      </c>
      <c r="E13" s="69">
        <f t="shared" si="1"/>
        <v>12</v>
      </c>
      <c r="F13" s="69">
        <f t="shared" si="2"/>
        <v>6</v>
      </c>
      <c r="G13" s="66" t="s">
        <v>33</v>
      </c>
      <c r="H13" s="74">
        <v>0.2</v>
      </c>
    </row>
    <row r="14">
      <c r="A14" s="62" t="s">
        <v>36</v>
      </c>
      <c r="B14" s="75"/>
      <c r="C14" s="75"/>
      <c r="D14" s="75"/>
      <c r="E14" s="75"/>
      <c r="F14" s="75"/>
      <c r="G14" s="75"/>
      <c r="H14" s="75"/>
    </row>
    <row r="15">
      <c r="B15" s="66" t="s">
        <v>37</v>
      </c>
      <c r="C15" s="76">
        <v>43109.0</v>
      </c>
      <c r="D15" s="77">
        <v>43112.0</v>
      </c>
      <c r="E15" s="69">
        <f t="shared" ref="E15:E18" si="3">int(C15)-int($C$9)</f>
        <v>4</v>
      </c>
      <c r="F15" s="69">
        <f t="shared" ref="F15:F18" si="4">IF(ISBLANK(C15),"", (D15-C15))</f>
        <v>3</v>
      </c>
      <c r="G15" s="66" t="s">
        <v>26</v>
      </c>
      <c r="H15" s="78">
        <v>1.0</v>
      </c>
    </row>
    <row r="16">
      <c r="B16" s="66" t="s">
        <v>38</v>
      </c>
      <c r="C16" s="76">
        <v>43112.0</v>
      </c>
      <c r="D16" s="77">
        <v>43119.0</v>
      </c>
      <c r="E16" s="69">
        <f t="shared" si="3"/>
        <v>7</v>
      </c>
      <c r="F16" s="69">
        <f t="shared" si="4"/>
        <v>7</v>
      </c>
      <c r="G16" s="66" t="s">
        <v>27</v>
      </c>
      <c r="H16" s="79">
        <v>0.8</v>
      </c>
    </row>
    <row r="17">
      <c r="B17" s="66" t="s">
        <v>57</v>
      </c>
      <c r="C17" s="76">
        <v>43117.0</v>
      </c>
      <c r="D17" s="77">
        <v>43119.0</v>
      </c>
      <c r="E17" s="69">
        <f t="shared" si="3"/>
        <v>12</v>
      </c>
      <c r="F17" s="69">
        <f t="shared" si="4"/>
        <v>2</v>
      </c>
      <c r="G17" s="66" t="s">
        <v>29</v>
      </c>
      <c r="H17" s="80">
        <v>0.6</v>
      </c>
    </row>
    <row r="18">
      <c r="B18" s="66" t="s">
        <v>58</v>
      </c>
      <c r="C18" s="76">
        <v>43122.0</v>
      </c>
      <c r="D18" s="77">
        <v>43126.0</v>
      </c>
      <c r="E18" s="69">
        <f t="shared" si="3"/>
        <v>17</v>
      </c>
      <c r="F18" s="69">
        <f t="shared" si="4"/>
        <v>4</v>
      </c>
      <c r="G18" s="66" t="s">
        <v>31</v>
      </c>
      <c r="H18" s="80">
        <v>0.4</v>
      </c>
    </row>
    <row r="19">
      <c r="A19" s="62" t="s">
        <v>41</v>
      </c>
      <c r="B19" s="75"/>
      <c r="C19" s="75"/>
      <c r="D19" s="75"/>
      <c r="E19" s="75"/>
      <c r="F19" s="75"/>
      <c r="G19" s="75"/>
      <c r="H19" s="75"/>
    </row>
    <row r="20">
      <c r="B20" s="66" t="s">
        <v>59</v>
      </c>
      <c r="C20" s="76">
        <v>43115.0</v>
      </c>
      <c r="D20" s="77">
        <v>43119.0</v>
      </c>
      <c r="E20" s="69">
        <f t="shared" ref="E20:E24" si="5">int(C20)-int($C$9)</f>
        <v>10</v>
      </c>
      <c r="F20" s="69">
        <f t="shared" ref="F20:F24" si="6">IF(ISBLANK(C20),"", (D20-C20))</f>
        <v>4</v>
      </c>
      <c r="G20" s="66" t="s">
        <v>26</v>
      </c>
      <c r="H20" s="80">
        <v>1.0</v>
      </c>
    </row>
    <row r="21">
      <c r="B21" s="66" t="s">
        <v>60</v>
      </c>
      <c r="C21" s="76">
        <v>43122.0</v>
      </c>
      <c r="D21" s="77">
        <v>43123.0</v>
      </c>
      <c r="E21" s="69">
        <f t="shared" si="5"/>
        <v>17</v>
      </c>
      <c r="F21" s="69">
        <f t="shared" si="6"/>
        <v>1</v>
      </c>
      <c r="G21" s="66" t="s">
        <v>27</v>
      </c>
      <c r="H21" s="80">
        <v>0.8</v>
      </c>
    </row>
    <row r="22">
      <c r="B22" s="66" t="s">
        <v>61</v>
      </c>
      <c r="C22" s="76">
        <v>43122.0</v>
      </c>
      <c r="D22" s="77">
        <v>43126.0</v>
      </c>
      <c r="E22" s="69">
        <f t="shared" si="5"/>
        <v>17</v>
      </c>
      <c r="F22" s="69">
        <f t="shared" si="6"/>
        <v>4</v>
      </c>
      <c r="G22" s="66" t="s">
        <v>29</v>
      </c>
      <c r="H22" s="80">
        <v>0.6</v>
      </c>
    </row>
    <row r="23">
      <c r="B23" s="66" t="s">
        <v>62</v>
      </c>
      <c r="C23" s="76">
        <v>43126.0</v>
      </c>
      <c r="D23" s="77">
        <v>43129.0</v>
      </c>
      <c r="E23" s="69">
        <f t="shared" si="5"/>
        <v>21</v>
      </c>
      <c r="F23" s="69">
        <f t="shared" si="6"/>
        <v>3</v>
      </c>
      <c r="G23" s="66" t="s">
        <v>31</v>
      </c>
      <c r="H23" s="80">
        <v>0.4</v>
      </c>
    </row>
    <row r="24">
      <c r="B24" s="66" t="s">
        <v>63</v>
      </c>
      <c r="C24" s="76">
        <v>43122.0</v>
      </c>
      <c r="D24" s="77">
        <v>43125.0</v>
      </c>
      <c r="E24" s="69">
        <f t="shared" si="5"/>
        <v>17</v>
      </c>
      <c r="F24" s="69">
        <f t="shared" si="6"/>
        <v>3</v>
      </c>
      <c r="G24" s="66" t="s">
        <v>33</v>
      </c>
      <c r="H24" s="80">
        <v>0.2</v>
      </c>
    </row>
    <row r="25">
      <c r="A25" s="62" t="s">
        <v>48</v>
      </c>
      <c r="B25" s="75"/>
      <c r="C25" s="75"/>
      <c r="D25" s="75"/>
      <c r="E25" s="75"/>
      <c r="F25" s="75"/>
      <c r="G25" s="75"/>
      <c r="H25" s="75"/>
    </row>
    <row r="26">
      <c r="B26" s="66" t="s">
        <v>64</v>
      </c>
      <c r="C26" s="76">
        <v>43115.0</v>
      </c>
      <c r="D26" s="77">
        <v>43124.0</v>
      </c>
      <c r="E26" s="69">
        <f t="shared" ref="E26:E29" si="7">int(C26)-int($C$9)</f>
        <v>10</v>
      </c>
      <c r="F26" s="69">
        <f t="shared" ref="F26:F29" si="8">IF(ISBLANK(C26),"", (D26-C26))</f>
        <v>9</v>
      </c>
      <c r="G26" s="66" t="s">
        <v>26</v>
      </c>
      <c r="H26" s="80">
        <v>1.0</v>
      </c>
    </row>
    <row r="27">
      <c r="B27" s="66" t="s">
        <v>65</v>
      </c>
      <c r="C27" s="76">
        <v>43125.0</v>
      </c>
      <c r="D27" s="77">
        <v>43130.0</v>
      </c>
      <c r="E27" s="69">
        <f t="shared" si="7"/>
        <v>20</v>
      </c>
      <c r="F27" s="69">
        <f t="shared" si="8"/>
        <v>5</v>
      </c>
      <c r="G27" s="66" t="s">
        <v>27</v>
      </c>
      <c r="H27" s="80">
        <v>0.8</v>
      </c>
    </row>
    <row r="28">
      <c r="B28" s="66" t="s">
        <v>66</v>
      </c>
      <c r="C28" s="76">
        <v>43124.0</v>
      </c>
      <c r="D28" s="77">
        <v>43130.0</v>
      </c>
      <c r="E28" s="69">
        <f t="shared" si="7"/>
        <v>19</v>
      </c>
      <c r="F28" s="69">
        <f t="shared" si="8"/>
        <v>6</v>
      </c>
      <c r="G28" s="66" t="s">
        <v>31</v>
      </c>
      <c r="H28" s="80">
        <v>0.6</v>
      </c>
    </row>
    <row r="29">
      <c r="B29" s="66" t="s">
        <v>67</v>
      </c>
      <c r="C29" s="76">
        <v>43130.0</v>
      </c>
      <c r="D29" s="77">
        <v>43131.0</v>
      </c>
      <c r="E29" s="69">
        <f t="shared" si="7"/>
        <v>25</v>
      </c>
      <c r="F29" s="69">
        <f t="shared" si="8"/>
        <v>1</v>
      </c>
      <c r="G29" s="66" t="s">
        <v>33</v>
      </c>
      <c r="H29" s="80">
        <v>0.0</v>
      </c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4">
    <mergeCell ref="G6:G7"/>
    <mergeCell ref="H6:H7"/>
    <mergeCell ref="I6:M6"/>
    <mergeCell ref="N6:R6"/>
    <mergeCell ref="S6:W6"/>
    <mergeCell ref="X6:AB6"/>
    <mergeCell ref="AC6:AG6"/>
    <mergeCell ref="A3:H3"/>
    <mergeCell ref="A6:A7"/>
    <mergeCell ref="B6:B7"/>
    <mergeCell ref="C6:C7"/>
    <mergeCell ref="D6:D7"/>
    <mergeCell ref="E6:E7"/>
    <mergeCell ref="F6:F7"/>
  </mergeCells>
  <conditionalFormatting sqref="H9:H13 H15:H18 H20:H24 H26:H29">
    <cfRule type="colorScale" priority="1">
      <colorScale>
        <cfvo type="percent" val="0"/>
        <cfvo type="percent" val="100"/>
        <color rgb="FFFFFFFF"/>
        <color rgb="FF5CBCD6"/>
      </colorScale>
    </cfRule>
  </conditionalFormatting>
  <dataValidations>
    <dataValidation type="custom" allowBlank="1" showDropDown="1" sqref="C9:D13 D15:D18 D20:D24 C26:D29">
      <formula1>OR(NOT(ISERROR(DATEVALUE(C9))), AND(ISNUMBER(C9), LEFT(CELL("format", C9))="D"))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31.38"/>
    <col customWidth="1" min="3" max="4" width="8.88"/>
    <col customWidth="1" min="5" max="7" width="10.75"/>
    <col customWidth="1" min="8" max="67" width="3.88"/>
  </cols>
  <sheetData>
    <row r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2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"/>
      <c r="B2" s="1"/>
      <c r="C2" s="1"/>
      <c r="D2" s="1"/>
      <c r="E2" s="2"/>
      <c r="F2" s="2"/>
      <c r="G2" s="2"/>
      <c r="H2" s="1"/>
      <c r="I2" s="1"/>
      <c r="J2" s="1"/>
      <c r="K2" s="1"/>
      <c r="L2" s="2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>
      <c r="A3" s="4" t="s">
        <v>0</v>
      </c>
      <c r="B3" s="5"/>
      <c r="C3" s="5"/>
      <c r="D3" s="5"/>
      <c r="E3" s="5"/>
      <c r="F3" s="5"/>
      <c r="G3" s="5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6"/>
      <c r="AG3" s="6"/>
      <c r="AH3" s="6"/>
      <c r="AI3" s="6"/>
      <c r="AJ3" s="6"/>
      <c r="AK3" s="6"/>
      <c r="AL3" s="6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>
      <c r="A6" s="11"/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3" t="s">
        <v>7</v>
      </c>
      <c r="I6" s="14"/>
      <c r="J6" s="14"/>
      <c r="K6" s="14"/>
      <c r="L6" s="14"/>
      <c r="M6" s="15" t="s">
        <v>8</v>
      </c>
      <c r="N6" s="14"/>
      <c r="O6" s="14"/>
      <c r="P6" s="14"/>
      <c r="Q6" s="14"/>
      <c r="R6" s="13" t="s">
        <v>9</v>
      </c>
      <c r="S6" s="14"/>
      <c r="T6" s="14"/>
      <c r="U6" s="14"/>
      <c r="V6" s="14"/>
      <c r="W6" s="15" t="s">
        <v>10</v>
      </c>
      <c r="X6" s="14"/>
      <c r="Y6" s="14"/>
      <c r="Z6" s="14"/>
      <c r="AA6" s="14"/>
      <c r="AB6" s="13" t="s">
        <v>11</v>
      </c>
      <c r="AC6" s="14"/>
      <c r="AD6" s="14"/>
      <c r="AE6" s="14"/>
      <c r="AF6" s="14"/>
      <c r="AG6" s="15" t="s">
        <v>12</v>
      </c>
      <c r="AH6" s="14"/>
      <c r="AI6" s="14"/>
      <c r="AJ6" s="14"/>
      <c r="AK6" s="14"/>
      <c r="AL6" s="13" t="s">
        <v>13</v>
      </c>
      <c r="AM6" s="14"/>
      <c r="AN6" s="14"/>
      <c r="AO6" s="14"/>
      <c r="AP6" s="14"/>
      <c r="AQ6" s="15" t="s">
        <v>14</v>
      </c>
      <c r="AR6" s="14"/>
      <c r="AS6" s="14"/>
      <c r="AT6" s="14"/>
      <c r="AU6" s="14"/>
      <c r="AV6" s="13" t="s">
        <v>15</v>
      </c>
      <c r="AW6" s="14"/>
      <c r="AX6" s="14"/>
      <c r="AY6" s="14"/>
      <c r="AZ6" s="14"/>
      <c r="BA6" s="15" t="s">
        <v>16</v>
      </c>
      <c r="BB6" s="14"/>
      <c r="BC6" s="14"/>
      <c r="BD6" s="14"/>
      <c r="BE6" s="14"/>
      <c r="BF6" s="13" t="s">
        <v>17</v>
      </c>
      <c r="BG6" s="14"/>
      <c r="BH6" s="14"/>
      <c r="BI6" s="14"/>
      <c r="BJ6" s="14"/>
      <c r="BK6" s="15" t="s">
        <v>18</v>
      </c>
      <c r="BL6" s="14"/>
      <c r="BM6" s="14"/>
      <c r="BN6" s="14"/>
      <c r="BO6" s="14"/>
    </row>
    <row r="7">
      <c r="G7" s="16"/>
      <c r="H7" s="17" t="s">
        <v>19</v>
      </c>
      <c r="I7" s="17" t="s">
        <v>20</v>
      </c>
      <c r="J7" s="17" t="s">
        <v>21</v>
      </c>
      <c r="K7" s="18" t="s">
        <v>22</v>
      </c>
      <c r="L7" s="17" t="s">
        <v>23</v>
      </c>
      <c r="M7" s="19" t="s">
        <v>19</v>
      </c>
      <c r="N7" s="19" t="s">
        <v>20</v>
      </c>
      <c r="O7" s="19" t="s">
        <v>21</v>
      </c>
      <c r="P7" s="20" t="s">
        <v>22</v>
      </c>
      <c r="Q7" s="19" t="s">
        <v>23</v>
      </c>
      <c r="R7" s="17" t="s">
        <v>19</v>
      </c>
      <c r="S7" s="17" t="s">
        <v>20</v>
      </c>
      <c r="T7" s="17" t="s">
        <v>21</v>
      </c>
      <c r="U7" s="18" t="s">
        <v>22</v>
      </c>
      <c r="V7" s="17" t="s">
        <v>23</v>
      </c>
      <c r="W7" s="19" t="s">
        <v>19</v>
      </c>
      <c r="X7" s="19" t="s">
        <v>20</v>
      </c>
      <c r="Y7" s="19" t="s">
        <v>21</v>
      </c>
      <c r="Z7" s="20" t="s">
        <v>22</v>
      </c>
      <c r="AA7" s="19" t="s">
        <v>23</v>
      </c>
      <c r="AB7" s="17" t="s">
        <v>19</v>
      </c>
      <c r="AC7" s="17" t="s">
        <v>20</v>
      </c>
      <c r="AD7" s="17" t="s">
        <v>21</v>
      </c>
      <c r="AE7" s="18" t="s">
        <v>22</v>
      </c>
      <c r="AF7" s="17" t="s">
        <v>23</v>
      </c>
      <c r="AG7" s="19" t="s">
        <v>19</v>
      </c>
      <c r="AH7" s="19" t="s">
        <v>20</v>
      </c>
      <c r="AI7" s="19" t="s">
        <v>21</v>
      </c>
      <c r="AJ7" s="20" t="s">
        <v>22</v>
      </c>
      <c r="AK7" s="19" t="s">
        <v>23</v>
      </c>
      <c r="AL7" s="17" t="s">
        <v>19</v>
      </c>
      <c r="AM7" s="17" t="s">
        <v>20</v>
      </c>
      <c r="AN7" s="17" t="s">
        <v>21</v>
      </c>
      <c r="AO7" s="18" t="s">
        <v>22</v>
      </c>
      <c r="AP7" s="17" t="s">
        <v>23</v>
      </c>
      <c r="AQ7" s="19" t="s">
        <v>19</v>
      </c>
      <c r="AR7" s="19" t="s">
        <v>20</v>
      </c>
      <c r="AS7" s="19" t="s">
        <v>21</v>
      </c>
      <c r="AT7" s="20" t="s">
        <v>22</v>
      </c>
      <c r="AU7" s="19" t="s">
        <v>23</v>
      </c>
      <c r="AV7" s="17" t="s">
        <v>19</v>
      </c>
      <c r="AW7" s="17" t="s">
        <v>20</v>
      </c>
      <c r="AX7" s="17" t="s">
        <v>21</v>
      </c>
      <c r="AY7" s="18" t="s">
        <v>22</v>
      </c>
      <c r="AZ7" s="17" t="s">
        <v>23</v>
      </c>
      <c r="BA7" s="19" t="s">
        <v>19</v>
      </c>
      <c r="BB7" s="19" t="s">
        <v>20</v>
      </c>
      <c r="BC7" s="19" t="s">
        <v>21</v>
      </c>
      <c r="BD7" s="20" t="s">
        <v>22</v>
      </c>
      <c r="BE7" s="19" t="s">
        <v>23</v>
      </c>
      <c r="BF7" s="17" t="s">
        <v>19</v>
      </c>
      <c r="BG7" s="17" t="s">
        <v>20</v>
      </c>
      <c r="BH7" s="17" t="s">
        <v>21</v>
      </c>
      <c r="BI7" s="18" t="s">
        <v>22</v>
      </c>
      <c r="BJ7" s="17" t="s">
        <v>23</v>
      </c>
      <c r="BK7" s="19" t="s">
        <v>19</v>
      </c>
      <c r="BL7" s="19" t="s">
        <v>20</v>
      </c>
      <c r="BM7" s="19" t="s">
        <v>21</v>
      </c>
      <c r="BN7" s="20" t="s">
        <v>22</v>
      </c>
      <c r="BO7" s="19" t="s">
        <v>23</v>
      </c>
    </row>
    <row r="8">
      <c r="A8" s="21" t="s">
        <v>24</v>
      </c>
      <c r="B8" s="22"/>
      <c r="C8" s="22"/>
      <c r="D8" s="23"/>
      <c r="E8" s="23"/>
      <c r="F8" s="23"/>
      <c r="G8" s="23"/>
      <c r="H8" s="24"/>
      <c r="I8" s="25"/>
      <c r="J8" s="26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</row>
    <row r="9">
      <c r="B9" s="27" t="s">
        <v>25</v>
      </c>
      <c r="C9" s="28">
        <v>43105.0</v>
      </c>
      <c r="D9" s="28">
        <v>43108.0</v>
      </c>
      <c r="E9" s="29">
        <f t="shared" ref="E9:E14" si="1">DAYS360(C9,D9)</f>
        <v>3</v>
      </c>
      <c r="F9" s="27" t="s">
        <v>26</v>
      </c>
      <c r="G9" s="30">
        <v>1.0</v>
      </c>
      <c r="H9" s="31"/>
      <c r="I9" s="32"/>
      <c r="J9" s="33"/>
      <c r="K9" s="33"/>
      <c r="L9" s="33"/>
      <c r="M9" s="34"/>
      <c r="N9" s="34"/>
      <c r="O9" s="34"/>
      <c r="P9" s="34"/>
      <c r="Q9" s="34"/>
      <c r="R9" s="33"/>
      <c r="S9" s="33"/>
      <c r="T9" s="33"/>
      <c r="U9" s="33"/>
      <c r="V9" s="33"/>
      <c r="W9" s="34"/>
      <c r="X9" s="34"/>
      <c r="Y9" s="34"/>
      <c r="Z9" s="34"/>
      <c r="AA9" s="34"/>
      <c r="AB9" s="35"/>
      <c r="AC9" s="35"/>
      <c r="AD9" s="35"/>
      <c r="AE9" s="35"/>
      <c r="AF9" s="35"/>
      <c r="AG9" s="34"/>
      <c r="AH9" s="34"/>
      <c r="AI9" s="34"/>
      <c r="AJ9" s="34"/>
      <c r="AK9" s="34"/>
      <c r="AL9" s="35"/>
      <c r="AM9" s="35"/>
      <c r="AN9" s="35"/>
      <c r="AO9" s="35"/>
      <c r="AP9" s="35"/>
      <c r="AQ9" s="34"/>
      <c r="AR9" s="34"/>
      <c r="AS9" s="34"/>
      <c r="AT9" s="34"/>
      <c r="AU9" s="34"/>
      <c r="AV9" s="33"/>
      <c r="AW9" s="33"/>
      <c r="AX9" s="33"/>
      <c r="AY9" s="33"/>
      <c r="AZ9" s="33"/>
      <c r="BA9" s="34"/>
      <c r="BB9" s="34"/>
      <c r="BC9" s="34"/>
      <c r="BD9" s="34"/>
      <c r="BE9" s="34"/>
      <c r="BF9" s="35"/>
      <c r="BG9" s="35"/>
      <c r="BH9" s="35"/>
      <c r="BI9" s="35"/>
      <c r="BJ9" s="35"/>
      <c r="BK9" s="34"/>
      <c r="BL9" s="34"/>
      <c r="BM9" s="34"/>
      <c r="BN9" s="34"/>
      <c r="BO9" s="36"/>
    </row>
    <row r="10">
      <c r="B10" s="27"/>
      <c r="C10" s="28"/>
      <c r="D10" s="28"/>
      <c r="E10" s="29">
        <f t="shared" si="1"/>
        <v>0</v>
      </c>
      <c r="F10" s="27" t="s">
        <v>27</v>
      </c>
      <c r="G10" s="37">
        <v>0.8</v>
      </c>
      <c r="H10" s="31"/>
      <c r="I10" s="32"/>
      <c r="J10" s="33"/>
      <c r="K10" s="33"/>
      <c r="L10" s="33"/>
      <c r="M10" s="38"/>
      <c r="N10" s="38"/>
      <c r="O10" s="34"/>
      <c r="P10" s="34"/>
      <c r="Q10" s="34"/>
      <c r="R10" s="33"/>
      <c r="S10" s="33"/>
      <c r="T10" s="33"/>
      <c r="U10" s="33"/>
      <c r="V10" s="33"/>
      <c r="W10" s="34"/>
      <c r="X10" s="34"/>
      <c r="Y10" s="34"/>
      <c r="Z10" s="34"/>
      <c r="AA10" s="34"/>
      <c r="AB10" s="35"/>
      <c r="AC10" s="35"/>
      <c r="AD10" s="35"/>
      <c r="AE10" s="35"/>
      <c r="AF10" s="35"/>
      <c r="AG10" s="34"/>
      <c r="AH10" s="34"/>
      <c r="AI10" s="34"/>
      <c r="AJ10" s="34"/>
      <c r="AK10" s="34"/>
      <c r="AL10" s="35"/>
      <c r="AM10" s="35"/>
      <c r="AN10" s="35"/>
      <c r="AO10" s="35"/>
      <c r="AP10" s="35"/>
      <c r="AQ10" s="34"/>
      <c r="AR10" s="34"/>
      <c r="AS10" s="34"/>
      <c r="AT10" s="34"/>
      <c r="AU10" s="34"/>
      <c r="AV10" s="33"/>
      <c r="AW10" s="33"/>
      <c r="AX10" s="33"/>
      <c r="AY10" s="33"/>
      <c r="AZ10" s="33"/>
      <c r="BA10" s="34"/>
      <c r="BB10" s="34"/>
      <c r="BC10" s="34"/>
      <c r="BD10" s="34"/>
      <c r="BE10" s="34"/>
      <c r="BF10" s="35"/>
      <c r="BG10" s="35"/>
      <c r="BH10" s="35"/>
      <c r="BI10" s="35"/>
      <c r="BJ10" s="35"/>
      <c r="BK10" s="34"/>
      <c r="BL10" s="34"/>
      <c r="BM10" s="34"/>
      <c r="BN10" s="34"/>
      <c r="BO10" s="36"/>
    </row>
    <row r="11">
      <c r="B11" s="27" t="s">
        <v>28</v>
      </c>
      <c r="C11" s="28">
        <v>43111.0</v>
      </c>
      <c r="D11" s="28">
        <v>43116.0</v>
      </c>
      <c r="E11" s="29">
        <f t="shared" si="1"/>
        <v>5</v>
      </c>
      <c r="F11" s="27" t="s">
        <v>29</v>
      </c>
      <c r="G11" s="30">
        <v>0.6</v>
      </c>
      <c r="H11" s="31"/>
      <c r="I11" s="32"/>
      <c r="J11" s="33"/>
      <c r="K11" s="33"/>
      <c r="L11" s="39"/>
      <c r="M11" s="39"/>
      <c r="N11" s="39"/>
      <c r="O11" s="39"/>
      <c r="P11" s="39"/>
      <c r="Q11" s="34"/>
      <c r="R11" s="33"/>
      <c r="S11" s="33"/>
      <c r="T11" s="33"/>
      <c r="U11" s="33"/>
      <c r="V11" s="33"/>
      <c r="W11" s="34"/>
      <c r="X11" s="34"/>
      <c r="Y11" s="34"/>
      <c r="Z11" s="34"/>
      <c r="AA11" s="34"/>
      <c r="AB11" s="35"/>
      <c r="AC11" s="35"/>
      <c r="AD11" s="35"/>
      <c r="AE11" s="35"/>
      <c r="AF11" s="35"/>
      <c r="AG11" s="34"/>
      <c r="AH11" s="34"/>
      <c r="AI11" s="34"/>
      <c r="AJ11" s="34"/>
      <c r="AK11" s="34"/>
      <c r="AL11" s="35"/>
      <c r="AM11" s="35"/>
      <c r="AN11" s="35"/>
      <c r="AO11" s="35"/>
      <c r="AP11" s="35"/>
      <c r="AQ11" s="34"/>
      <c r="AR11" s="34"/>
      <c r="AS11" s="34"/>
      <c r="AT11" s="34"/>
      <c r="AU11" s="34"/>
      <c r="AV11" s="33"/>
      <c r="AW11" s="33"/>
      <c r="AX11" s="33"/>
      <c r="AY11" s="33"/>
      <c r="AZ11" s="33"/>
      <c r="BA11" s="34"/>
      <c r="BB11" s="34"/>
      <c r="BC11" s="34"/>
      <c r="BD11" s="34"/>
      <c r="BE11" s="34"/>
      <c r="BF11" s="35"/>
      <c r="BG11" s="35"/>
      <c r="BH11" s="35"/>
      <c r="BI11" s="35"/>
      <c r="BJ11" s="35"/>
      <c r="BK11" s="34"/>
      <c r="BL11" s="34"/>
      <c r="BM11" s="34"/>
      <c r="BN11" s="34"/>
      <c r="BO11" s="36"/>
    </row>
    <row r="12">
      <c r="B12" s="27" t="s">
        <v>30</v>
      </c>
      <c r="C12" s="28">
        <v>43114.0</v>
      </c>
      <c r="D12" s="28">
        <v>43119.0</v>
      </c>
      <c r="E12" s="29">
        <f t="shared" si="1"/>
        <v>5</v>
      </c>
      <c r="F12" s="27" t="s">
        <v>31</v>
      </c>
      <c r="G12" s="40">
        <v>0.4</v>
      </c>
      <c r="H12" s="31"/>
      <c r="I12" s="32"/>
      <c r="J12" s="33"/>
      <c r="K12" s="33"/>
      <c r="L12" s="33"/>
      <c r="M12" s="34"/>
      <c r="N12" s="39"/>
      <c r="O12" s="39"/>
      <c r="P12" s="39"/>
      <c r="Q12" s="39"/>
      <c r="R12" s="39"/>
      <c r="S12" s="33"/>
      <c r="T12" s="33"/>
      <c r="U12" s="33"/>
      <c r="V12" s="33"/>
      <c r="W12" s="34"/>
      <c r="X12" s="34"/>
      <c r="Y12" s="34"/>
      <c r="Z12" s="34"/>
      <c r="AA12" s="34"/>
      <c r="AB12" s="35"/>
      <c r="AC12" s="35"/>
      <c r="AD12" s="35"/>
      <c r="AE12" s="35"/>
      <c r="AF12" s="35"/>
      <c r="AG12" s="34"/>
      <c r="AH12" s="34"/>
      <c r="AI12" s="34"/>
      <c r="AJ12" s="34"/>
      <c r="AK12" s="34"/>
      <c r="AL12" s="35"/>
      <c r="AM12" s="35"/>
      <c r="AN12" s="35"/>
      <c r="AO12" s="35"/>
      <c r="AP12" s="35"/>
      <c r="AQ12" s="34"/>
      <c r="AR12" s="34"/>
      <c r="AS12" s="34"/>
      <c r="AT12" s="34"/>
      <c r="AU12" s="34"/>
      <c r="AV12" s="33"/>
      <c r="AW12" s="33"/>
      <c r="AX12" s="33"/>
      <c r="AY12" s="33"/>
      <c r="AZ12" s="33"/>
      <c r="BA12" s="34"/>
      <c r="BB12" s="34"/>
      <c r="BC12" s="34"/>
      <c r="BD12" s="34"/>
      <c r="BE12" s="34"/>
      <c r="BF12" s="35"/>
      <c r="BG12" s="35"/>
      <c r="BH12" s="35"/>
      <c r="BI12" s="35"/>
      <c r="BJ12" s="35"/>
      <c r="BK12" s="34"/>
      <c r="BL12" s="34"/>
      <c r="BM12" s="34"/>
      <c r="BN12" s="34"/>
      <c r="BO12" s="36"/>
    </row>
    <row r="13">
      <c r="B13" s="27" t="s">
        <v>32</v>
      </c>
      <c r="C13" s="28">
        <v>43117.0</v>
      </c>
      <c r="D13" s="28">
        <v>43121.0</v>
      </c>
      <c r="E13" s="29">
        <f t="shared" si="1"/>
        <v>4</v>
      </c>
      <c r="F13" s="27" t="s">
        <v>33</v>
      </c>
      <c r="G13" s="41">
        <v>0.2</v>
      </c>
      <c r="H13" s="31"/>
      <c r="I13" s="32"/>
      <c r="J13" s="33"/>
      <c r="K13" s="33"/>
      <c r="L13" s="33"/>
      <c r="M13" s="34"/>
      <c r="N13" s="34"/>
      <c r="O13" s="34"/>
      <c r="P13" s="39"/>
      <c r="Q13" s="39"/>
      <c r="R13" s="39"/>
      <c r="S13" s="39"/>
      <c r="T13" s="39"/>
      <c r="U13" s="33"/>
      <c r="V13" s="33"/>
      <c r="W13" s="34"/>
      <c r="X13" s="34"/>
      <c r="Y13" s="34"/>
      <c r="Z13" s="34"/>
      <c r="AA13" s="34"/>
      <c r="AB13" s="35"/>
      <c r="AC13" s="35"/>
      <c r="AD13" s="35"/>
      <c r="AE13" s="35"/>
      <c r="AF13" s="35"/>
      <c r="AG13" s="34"/>
      <c r="AH13" s="34"/>
      <c r="AI13" s="34"/>
      <c r="AJ13" s="34"/>
      <c r="AK13" s="34"/>
      <c r="AL13" s="35"/>
      <c r="AM13" s="35"/>
      <c r="AN13" s="35"/>
      <c r="AO13" s="35"/>
      <c r="AP13" s="35"/>
      <c r="AQ13" s="34"/>
      <c r="AR13" s="34"/>
      <c r="AS13" s="34"/>
      <c r="AT13" s="34"/>
      <c r="AU13" s="34"/>
      <c r="AV13" s="33"/>
      <c r="AW13" s="33"/>
      <c r="AX13" s="33"/>
      <c r="AY13" s="33"/>
      <c r="AZ13" s="33"/>
      <c r="BA13" s="34"/>
      <c r="BB13" s="34"/>
      <c r="BC13" s="34"/>
      <c r="BD13" s="34"/>
      <c r="BE13" s="34"/>
      <c r="BF13" s="35"/>
      <c r="BG13" s="35"/>
      <c r="BH13" s="35"/>
      <c r="BI13" s="35"/>
      <c r="BJ13" s="35"/>
      <c r="BK13" s="34"/>
      <c r="BL13" s="34"/>
      <c r="BM13" s="34"/>
      <c r="BN13" s="34"/>
      <c r="BO13" s="36"/>
    </row>
    <row r="14">
      <c r="B14" s="27" t="s">
        <v>34</v>
      </c>
      <c r="C14" s="28">
        <v>43120.0</v>
      </c>
      <c r="D14" s="28">
        <v>43123.0</v>
      </c>
      <c r="E14" s="29">
        <f t="shared" si="1"/>
        <v>3</v>
      </c>
      <c r="F14" s="27" t="s">
        <v>35</v>
      </c>
      <c r="G14" s="42">
        <v>0.1</v>
      </c>
      <c r="H14" s="31"/>
      <c r="I14" s="32"/>
      <c r="J14" s="33"/>
      <c r="K14" s="33"/>
      <c r="L14" s="33"/>
      <c r="M14" s="34"/>
      <c r="N14" s="34"/>
      <c r="O14" s="34"/>
      <c r="P14" s="34"/>
      <c r="Q14" s="34"/>
      <c r="R14" s="33"/>
      <c r="S14" s="39"/>
      <c r="T14" s="39"/>
      <c r="U14" s="39"/>
      <c r="V14" s="33"/>
      <c r="W14" s="34"/>
      <c r="X14" s="34"/>
      <c r="Y14" s="34"/>
      <c r="Z14" s="34"/>
      <c r="AA14" s="34"/>
      <c r="AB14" s="35"/>
      <c r="AC14" s="35"/>
      <c r="AD14" s="35"/>
      <c r="AE14" s="35"/>
      <c r="AF14" s="35"/>
      <c r="AG14" s="34"/>
      <c r="AH14" s="34"/>
      <c r="AI14" s="34"/>
      <c r="AJ14" s="34"/>
      <c r="AK14" s="34"/>
      <c r="AL14" s="35"/>
      <c r="AM14" s="35"/>
      <c r="AN14" s="35"/>
      <c r="AO14" s="35"/>
      <c r="AP14" s="35"/>
      <c r="AQ14" s="34"/>
      <c r="AR14" s="34"/>
      <c r="AS14" s="34"/>
      <c r="AT14" s="34"/>
      <c r="AU14" s="34"/>
      <c r="AV14" s="33"/>
      <c r="AW14" s="33"/>
      <c r="AX14" s="33"/>
      <c r="AY14" s="33"/>
      <c r="AZ14" s="33"/>
      <c r="BA14" s="34"/>
      <c r="BB14" s="34"/>
      <c r="BC14" s="34"/>
      <c r="BD14" s="34"/>
      <c r="BE14" s="34"/>
      <c r="BF14" s="35"/>
      <c r="BG14" s="35"/>
      <c r="BH14" s="35"/>
      <c r="BI14" s="35"/>
      <c r="BJ14" s="35"/>
      <c r="BK14" s="34"/>
      <c r="BL14" s="34"/>
      <c r="BM14" s="34"/>
      <c r="BN14" s="34"/>
      <c r="BO14" s="36"/>
    </row>
    <row r="15">
      <c r="A15" s="21" t="s">
        <v>36</v>
      </c>
      <c r="B15" s="43"/>
      <c r="C15" s="43"/>
      <c r="D15" s="23"/>
      <c r="E15" s="23"/>
      <c r="F15" s="23"/>
      <c r="G15" s="23"/>
      <c r="H15" s="44"/>
      <c r="I15" s="45"/>
      <c r="J15" s="46"/>
      <c r="K15" s="4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</row>
    <row r="16">
      <c r="B16" s="27" t="s">
        <v>37</v>
      </c>
      <c r="C16" s="47">
        <v>43136.0</v>
      </c>
      <c r="D16" s="47">
        <v>43139.0</v>
      </c>
      <c r="E16" s="29">
        <f t="shared" ref="E16:E19" si="2">DAYS360(C16,D16)</f>
        <v>3</v>
      </c>
      <c r="F16" s="27" t="s">
        <v>26</v>
      </c>
      <c r="G16" s="48">
        <v>1.0</v>
      </c>
      <c r="H16" s="31"/>
      <c r="I16" s="32"/>
      <c r="J16" s="33"/>
      <c r="K16" s="33"/>
      <c r="L16" s="33"/>
      <c r="M16" s="34"/>
      <c r="N16" s="34"/>
      <c r="O16" s="34"/>
      <c r="P16" s="34"/>
      <c r="Q16" s="34"/>
      <c r="R16" s="33"/>
      <c r="S16" s="33"/>
      <c r="T16" s="33"/>
      <c r="U16" s="33"/>
      <c r="V16" s="33"/>
      <c r="W16" s="34"/>
      <c r="X16" s="34"/>
      <c r="Y16" s="34"/>
      <c r="Z16" s="34"/>
      <c r="AA16" s="34"/>
      <c r="AB16" s="35"/>
      <c r="AC16" s="35"/>
      <c r="AD16" s="35"/>
      <c r="AE16" s="35"/>
      <c r="AF16" s="35"/>
      <c r="AG16" s="34"/>
      <c r="AH16" s="34"/>
      <c r="AI16" s="34"/>
      <c r="AJ16" s="34"/>
      <c r="AK16" s="34"/>
      <c r="AL16" s="35"/>
      <c r="AM16" s="35"/>
      <c r="AN16" s="35"/>
      <c r="AO16" s="35"/>
      <c r="AP16" s="35"/>
      <c r="AQ16" s="34"/>
      <c r="AR16" s="34"/>
      <c r="AS16" s="34"/>
      <c r="AT16" s="34"/>
      <c r="AU16" s="34"/>
      <c r="AV16" s="33"/>
      <c r="AW16" s="33"/>
      <c r="AX16" s="33"/>
      <c r="AY16" s="33"/>
      <c r="AZ16" s="33"/>
      <c r="BA16" s="34"/>
      <c r="BB16" s="34"/>
      <c r="BC16" s="34"/>
      <c r="BD16" s="34"/>
      <c r="BE16" s="34"/>
      <c r="BF16" s="35"/>
      <c r="BG16" s="35"/>
      <c r="BH16" s="35"/>
      <c r="BI16" s="35"/>
      <c r="BJ16" s="35"/>
      <c r="BK16" s="34"/>
      <c r="BL16" s="34"/>
      <c r="BM16" s="34"/>
      <c r="BN16" s="34"/>
      <c r="BO16" s="36"/>
    </row>
    <row r="17">
      <c r="B17" s="27" t="s">
        <v>38</v>
      </c>
      <c r="C17" s="47">
        <v>43139.0</v>
      </c>
      <c r="D17" s="47">
        <v>43144.0</v>
      </c>
      <c r="E17" s="29">
        <f t="shared" si="2"/>
        <v>5</v>
      </c>
      <c r="F17" s="27" t="s">
        <v>27</v>
      </c>
      <c r="G17" s="49">
        <v>0.8</v>
      </c>
      <c r="H17" s="31"/>
      <c r="I17" s="32"/>
      <c r="J17" s="33"/>
      <c r="K17" s="33"/>
      <c r="L17" s="33"/>
      <c r="M17" s="34"/>
      <c r="N17" s="34"/>
      <c r="O17" s="34"/>
      <c r="P17" s="34"/>
      <c r="Q17" s="34"/>
      <c r="R17" s="33"/>
      <c r="S17" s="33"/>
      <c r="T17" s="33"/>
      <c r="U17" s="33"/>
      <c r="V17" s="33"/>
      <c r="W17" s="34"/>
      <c r="X17" s="34"/>
      <c r="Y17" s="34"/>
      <c r="Z17" s="34"/>
      <c r="AA17" s="34"/>
      <c r="AB17" s="35"/>
      <c r="AC17" s="35"/>
      <c r="AD17" s="35"/>
      <c r="AE17" s="35"/>
      <c r="AF17" s="35"/>
      <c r="AG17" s="34"/>
      <c r="AH17" s="34"/>
      <c r="AI17" s="34"/>
      <c r="AJ17" s="34"/>
      <c r="AK17" s="34"/>
      <c r="AL17" s="35"/>
      <c r="AM17" s="35"/>
      <c r="AN17" s="35"/>
      <c r="AO17" s="35"/>
      <c r="AP17" s="35"/>
      <c r="AQ17" s="34"/>
      <c r="AR17" s="34"/>
      <c r="AS17" s="34"/>
      <c r="AT17" s="34"/>
      <c r="AU17" s="34"/>
      <c r="AV17" s="33"/>
      <c r="AW17" s="33"/>
      <c r="AX17" s="33"/>
      <c r="AY17" s="33"/>
      <c r="AZ17" s="33"/>
      <c r="BA17" s="34"/>
      <c r="BB17" s="34"/>
      <c r="BC17" s="34"/>
      <c r="BD17" s="34"/>
      <c r="BE17" s="34"/>
      <c r="BF17" s="35"/>
      <c r="BG17" s="35"/>
      <c r="BH17" s="35"/>
      <c r="BI17" s="35"/>
      <c r="BJ17" s="35"/>
      <c r="BK17" s="34"/>
      <c r="BL17" s="34"/>
      <c r="BM17" s="34"/>
      <c r="BN17" s="34"/>
      <c r="BO17" s="36"/>
    </row>
    <row r="18">
      <c r="B18" s="27" t="s">
        <v>39</v>
      </c>
      <c r="C18" s="47">
        <v>43142.0</v>
      </c>
      <c r="D18" s="47">
        <v>43147.0</v>
      </c>
      <c r="E18" s="29">
        <f t="shared" si="2"/>
        <v>5</v>
      </c>
      <c r="F18" s="27" t="s">
        <v>31</v>
      </c>
      <c r="G18" s="50">
        <v>0.6</v>
      </c>
      <c r="H18" s="31"/>
      <c r="I18" s="32"/>
      <c r="J18" s="33"/>
      <c r="K18" s="33"/>
      <c r="L18" s="33"/>
      <c r="M18" s="34"/>
      <c r="N18" s="34"/>
      <c r="O18" s="34"/>
      <c r="P18" s="34"/>
      <c r="Q18" s="34"/>
      <c r="R18" s="33"/>
      <c r="S18" s="33"/>
      <c r="T18" s="33"/>
      <c r="U18" s="33"/>
      <c r="V18" s="33"/>
      <c r="W18" s="34"/>
      <c r="X18" s="34"/>
      <c r="Y18" s="34"/>
      <c r="Z18" s="34"/>
      <c r="AA18" s="34"/>
      <c r="AB18" s="35"/>
      <c r="AC18" s="35"/>
      <c r="AD18" s="35"/>
      <c r="AE18" s="35"/>
      <c r="AF18" s="35"/>
      <c r="AG18" s="34"/>
      <c r="AH18" s="34"/>
      <c r="AI18" s="34"/>
      <c r="AJ18" s="34"/>
      <c r="AK18" s="34"/>
      <c r="AL18" s="35"/>
      <c r="AM18" s="35"/>
      <c r="AN18" s="35"/>
      <c r="AO18" s="35"/>
      <c r="AP18" s="35"/>
      <c r="AQ18" s="34"/>
      <c r="AR18" s="34"/>
      <c r="AS18" s="34"/>
      <c r="AT18" s="34"/>
      <c r="AU18" s="34"/>
      <c r="AV18" s="33"/>
      <c r="AW18" s="33"/>
      <c r="AX18" s="33"/>
      <c r="AY18" s="33"/>
      <c r="AZ18" s="33"/>
      <c r="BA18" s="34"/>
      <c r="BB18" s="34"/>
      <c r="BC18" s="34"/>
      <c r="BD18" s="34"/>
      <c r="BE18" s="34"/>
      <c r="BF18" s="35"/>
      <c r="BG18" s="35"/>
      <c r="BH18" s="35"/>
      <c r="BI18" s="35"/>
      <c r="BJ18" s="35"/>
      <c r="BK18" s="34"/>
      <c r="BL18" s="34"/>
      <c r="BM18" s="34"/>
      <c r="BN18" s="34"/>
      <c r="BO18" s="36"/>
    </row>
    <row r="19">
      <c r="B19" s="27" t="s">
        <v>40</v>
      </c>
      <c r="C19" s="47">
        <v>43145.0</v>
      </c>
      <c r="D19" s="47">
        <v>43154.0</v>
      </c>
      <c r="E19" s="29">
        <f t="shared" si="2"/>
        <v>9</v>
      </c>
      <c r="F19" s="27" t="s">
        <v>35</v>
      </c>
      <c r="G19" s="50">
        <v>0.4</v>
      </c>
      <c r="H19" s="31"/>
      <c r="I19" s="32"/>
      <c r="J19" s="33"/>
      <c r="K19" s="33"/>
      <c r="L19" s="33"/>
      <c r="M19" s="34"/>
      <c r="N19" s="34"/>
      <c r="O19" s="34"/>
      <c r="P19" s="34"/>
      <c r="Q19" s="34"/>
      <c r="R19" s="33"/>
      <c r="S19" s="33"/>
      <c r="T19" s="33"/>
      <c r="U19" s="33"/>
      <c r="V19" s="33"/>
      <c r="W19" s="34"/>
      <c r="X19" s="34"/>
      <c r="Y19" s="34"/>
      <c r="Z19" s="34"/>
      <c r="AA19" s="34"/>
      <c r="AB19" s="35"/>
      <c r="AC19" s="35"/>
      <c r="AD19" s="35"/>
      <c r="AE19" s="35"/>
      <c r="AF19" s="35"/>
      <c r="AG19" s="34"/>
      <c r="AH19" s="34"/>
      <c r="AI19" s="34"/>
      <c r="AJ19" s="34"/>
      <c r="AK19" s="34"/>
      <c r="AL19" s="35"/>
      <c r="AM19" s="35"/>
      <c r="AN19" s="35"/>
      <c r="AO19" s="35"/>
      <c r="AP19" s="35"/>
      <c r="AQ19" s="34"/>
      <c r="AR19" s="34"/>
      <c r="AS19" s="34"/>
      <c r="AT19" s="34"/>
      <c r="AU19" s="34"/>
      <c r="AV19" s="33"/>
      <c r="AW19" s="33"/>
      <c r="AX19" s="33"/>
      <c r="AY19" s="33"/>
      <c r="AZ19" s="33"/>
      <c r="BA19" s="34"/>
      <c r="BB19" s="34"/>
      <c r="BC19" s="34"/>
      <c r="BD19" s="34"/>
      <c r="BE19" s="34"/>
      <c r="BF19" s="35"/>
      <c r="BG19" s="35"/>
      <c r="BH19" s="35"/>
      <c r="BI19" s="35"/>
      <c r="BJ19" s="35"/>
      <c r="BK19" s="34"/>
      <c r="BL19" s="34"/>
      <c r="BM19" s="34"/>
      <c r="BN19" s="34"/>
      <c r="BO19" s="36"/>
    </row>
    <row r="20">
      <c r="A20" s="21" t="s">
        <v>41</v>
      </c>
      <c r="B20" s="43"/>
      <c r="C20" s="43"/>
      <c r="D20" s="23"/>
      <c r="E20" s="23"/>
      <c r="F20" s="23"/>
      <c r="G20" s="23"/>
      <c r="H20" s="44"/>
      <c r="I20" s="45"/>
      <c r="J20" s="46"/>
      <c r="K20" s="46"/>
      <c r="L20" s="44"/>
      <c r="M20" s="51"/>
      <c r="N20" s="51"/>
      <c r="O20" s="51"/>
      <c r="P20" s="51"/>
      <c r="Q20" s="51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</row>
    <row r="21">
      <c r="B21" s="27" t="s">
        <v>42</v>
      </c>
      <c r="C21" s="47">
        <v>43164.0</v>
      </c>
      <c r="D21" s="47">
        <v>43167.0</v>
      </c>
      <c r="E21" s="29">
        <f t="shared" ref="E21:E26" si="3">DAYS360(C21,D21)</f>
        <v>3</v>
      </c>
      <c r="F21" s="27" t="s">
        <v>33</v>
      </c>
      <c r="G21" s="50">
        <v>1.0</v>
      </c>
      <c r="H21" s="31"/>
      <c r="I21" s="32"/>
      <c r="J21" s="33"/>
      <c r="K21" s="33"/>
      <c r="L21" s="33"/>
      <c r="M21" s="34"/>
      <c r="N21" s="34"/>
      <c r="O21" s="34"/>
      <c r="P21" s="34"/>
      <c r="Q21" s="34"/>
      <c r="R21" s="33"/>
      <c r="S21" s="33"/>
      <c r="T21" s="33"/>
      <c r="U21" s="33"/>
      <c r="V21" s="33"/>
      <c r="W21" s="34"/>
      <c r="X21" s="34"/>
      <c r="Y21" s="34"/>
      <c r="Z21" s="34"/>
      <c r="AA21" s="34"/>
      <c r="AB21" s="35"/>
      <c r="AC21" s="35"/>
      <c r="AD21" s="35"/>
      <c r="AE21" s="35"/>
      <c r="AF21" s="35"/>
      <c r="AG21" s="34"/>
      <c r="AH21" s="34"/>
      <c r="AI21" s="34"/>
      <c r="AJ21" s="34"/>
      <c r="AK21" s="34"/>
      <c r="AL21" s="35"/>
      <c r="AM21" s="35"/>
      <c r="AN21" s="35"/>
      <c r="AO21" s="35"/>
      <c r="AP21" s="35"/>
      <c r="AQ21" s="34"/>
      <c r="AR21" s="34"/>
      <c r="AS21" s="34"/>
      <c r="AT21" s="34"/>
      <c r="AU21" s="34"/>
      <c r="AV21" s="33"/>
      <c r="AW21" s="33"/>
      <c r="AX21" s="33"/>
      <c r="AY21" s="33"/>
      <c r="AZ21" s="33"/>
      <c r="BA21" s="34"/>
      <c r="BB21" s="34"/>
      <c r="BC21" s="34"/>
      <c r="BD21" s="34"/>
      <c r="BE21" s="34"/>
      <c r="BF21" s="35"/>
      <c r="BG21" s="35"/>
      <c r="BH21" s="35"/>
      <c r="BI21" s="35"/>
      <c r="BJ21" s="35"/>
      <c r="BK21" s="34"/>
      <c r="BL21" s="34"/>
      <c r="BM21" s="34"/>
      <c r="BN21" s="34"/>
      <c r="BO21" s="36"/>
    </row>
    <row r="22">
      <c r="B22" s="27" t="s">
        <v>43</v>
      </c>
      <c r="C22" s="47">
        <v>43167.0</v>
      </c>
      <c r="D22" s="47">
        <v>43172.0</v>
      </c>
      <c r="E22" s="29">
        <f t="shared" si="3"/>
        <v>5</v>
      </c>
      <c r="F22" s="27" t="s">
        <v>31</v>
      </c>
      <c r="G22" s="50">
        <v>0.8</v>
      </c>
      <c r="H22" s="31"/>
      <c r="I22" s="32"/>
      <c r="J22" s="33"/>
      <c r="K22" s="33"/>
      <c r="L22" s="33"/>
      <c r="M22" s="34"/>
      <c r="N22" s="34"/>
      <c r="O22" s="34"/>
      <c r="P22" s="34"/>
      <c r="Q22" s="34"/>
      <c r="R22" s="33"/>
      <c r="S22" s="33"/>
      <c r="T22" s="33"/>
      <c r="U22" s="33"/>
      <c r="V22" s="33"/>
      <c r="W22" s="34"/>
      <c r="X22" s="34"/>
      <c r="Y22" s="34"/>
      <c r="Z22" s="34"/>
      <c r="AA22" s="34"/>
      <c r="AB22" s="35"/>
      <c r="AC22" s="35"/>
      <c r="AD22" s="35"/>
      <c r="AE22" s="35"/>
      <c r="AF22" s="35"/>
      <c r="AG22" s="34"/>
      <c r="AH22" s="34"/>
      <c r="AI22" s="34"/>
      <c r="AJ22" s="34"/>
      <c r="AK22" s="34"/>
      <c r="AL22" s="35"/>
      <c r="AM22" s="35"/>
      <c r="AN22" s="35"/>
      <c r="AO22" s="35"/>
      <c r="AP22" s="35"/>
      <c r="AQ22" s="34"/>
      <c r="AR22" s="34"/>
      <c r="AS22" s="34"/>
      <c r="AT22" s="34"/>
      <c r="AU22" s="34"/>
      <c r="AV22" s="33"/>
      <c r="AW22" s="33"/>
      <c r="AX22" s="33"/>
      <c r="AY22" s="33"/>
      <c r="AZ22" s="33"/>
      <c r="BA22" s="34"/>
      <c r="BB22" s="34"/>
      <c r="BC22" s="34"/>
      <c r="BD22" s="34"/>
      <c r="BE22" s="34"/>
      <c r="BF22" s="35"/>
      <c r="BG22" s="35"/>
      <c r="BH22" s="35"/>
      <c r="BI22" s="35"/>
      <c r="BJ22" s="35"/>
      <c r="BK22" s="34"/>
      <c r="BL22" s="34"/>
      <c r="BM22" s="34"/>
      <c r="BN22" s="34"/>
      <c r="BO22" s="36"/>
    </row>
    <row r="23">
      <c r="B23" s="27" t="s">
        <v>44</v>
      </c>
      <c r="C23" s="47">
        <v>43170.0</v>
      </c>
      <c r="D23" s="47">
        <v>43175.0</v>
      </c>
      <c r="E23" s="29">
        <f t="shared" si="3"/>
        <v>5</v>
      </c>
      <c r="F23" s="27" t="s">
        <v>29</v>
      </c>
      <c r="G23" s="50">
        <v>0.6</v>
      </c>
      <c r="H23" s="31"/>
      <c r="I23" s="32"/>
      <c r="J23" s="33"/>
      <c r="K23" s="33"/>
      <c r="L23" s="33"/>
      <c r="M23" s="34"/>
      <c r="N23" s="34"/>
      <c r="O23" s="34"/>
      <c r="P23" s="34"/>
      <c r="Q23" s="34"/>
      <c r="R23" s="33"/>
      <c r="S23" s="33"/>
      <c r="T23" s="33"/>
      <c r="U23" s="33"/>
      <c r="V23" s="33"/>
      <c r="W23" s="34"/>
      <c r="X23" s="34"/>
      <c r="Y23" s="34"/>
      <c r="Z23" s="34"/>
      <c r="AA23" s="34"/>
      <c r="AB23" s="35"/>
      <c r="AC23" s="35"/>
      <c r="AD23" s="35"/>
      <c r="AE23" s="35"/>
      <c r="AF23" s="35"/>
      <c r="AG23" s="34"/>
      <c r="AH23" s="34"/>
      <c r="AI23" s="34"/>
      <c r="AJ23" s="34"/>
      <c r="AK23" s="34"/>
      <c r="AL23" s="35"/>
      <c r="AM23" s="35"/>
      <c r="AN23" s="35"/>
      <c r="AO23" s="35"/>
      <c r="AP23" s="35"/>
      <c r="AQ23" s="34"/>
      <c r="AR23" s="34"/>
      <c r="AS23" s="34"/>
      <c r="AT23" s="34"/>
      <c r="AU23" s="34"/>
      <c r="AV23" s="33"/>
      <c r="AW23" s="33"/>
      <c r="AX23" s="33"/>
      <c r="AY23" s="33"/>
      <c r="AZ23" s="33"/>
      <c r="BA23" s="34"/>
      <c r="BB23" s="34"/>
      <c r="BC23" s="34"/>
      <c r="BD23" s="34"/>
      <c r="BE23" s="34"/>
      <c r="BF23" s="35"/>
      <c r="BG23" s="35"/>
      <c r="BH23" s="35"/>
      <c r="BI23" s="35"/>
      <c r="BJ23" s="35"/>
      <c r="BK23" s="34"/>
      <c r="BL23" s="34"/>
      <c r="BM23" s="34"/>
      <c r="BN23" s="34"/>
      <c r="BO23" s="36"/>
    </row>
    <row r="24">
      <c r="B24" s="27" t="s">
        <v>45</v>
      </c>
      <c r="C24" s="47">
        <v>43173.0</v>
      </c>
      <c r="D24" s="47">
        <v>43178.0</v>
      </c>
      <c r="E24" s="29">
        <f t="shared" si="3"/>
        <v>5</v>
      </c>
      <c r="F24" s="27" t="s">
        <v>27</v>
      </c>
      <c r="G24" s="50">
        <v>0.4</v>
      </c>
      <c r="H24" s="31"/>
      <c r="I24" s="32"/>
      <c r="J24" s="33"/>
      <c r="K24" s="33"/>
      <c r="L24" s="33"/>
      <c r="M24" s="34"/>
      <c r="N24" s="34"/>
      <c r="O24" s="34"/>
      <c r="P24" s="34"/>
      <c r="Q24" s="34"/>
      <c r="R24" s="33"/>
      <c r="S24" s="33"/>
      <c r="T24" s="33"/>
      <c r="U24" s="33"/>
      <c r="V24" s="33"/>
      <c r="W24" s="34"/>
      <c r="X24" s="34"/>
      <c r="Y24" s="34"/>
      <c r="Z24" s="34"/>
      <c r="AA24" s="34"/>
      <c r="AB24" s="35"/>
      <c r="AC24" s="35"/>
      <c r="AD24" s="35"/>
      <c r="AE24" s="35"/>
      <c r="AF24" s="35"/>
      <c r="AG24" s="34"/>
      <c r="AH24" s="34"/>
      <c r="AI24" s="34"/>
      <c r="AJ24" s="34"/>
      <c r="AK24" s="34"/>
      <c r="AL24" s="35"/>
      <c r="AM24" s="35"/>
      <c r="AN24" s="35"/>
      <c r="AO24" s="35"/>
      <c r="AP24" s="35"/>
      <c r="AQ24" s="34"/>
      <c r="AR24" s="34"/>
      <c r="AS24" s="34"/>
      <c r="AT24" s="34"/>
      <c r="AU24" s="34"/>
      <c r="AV24" s="33"/>
      <c r="AW24" s="33"/>
      <c r="AX24" s="33"/>
      <c r="AY24" s="33"/>
      <c r="AZ24" s="33"/>
      <c r="BA24" s="34"/>
      <c r="BB24" s="34"/>
      <c r="BC24" s="34"/>
      <c r="BD24" s="34"/>
      <c r="BE24" s="34"/>
      <c r="BF24" s="35"/>
      <c r="BG24" s="35"/>
      <c r="BH24" s="35"/>
      <c r="BI24" s="35"/>
      <c r="BJ24" s="35"/>
      <c r="BK24" s="34"/>
      <c r="BL24" s="34"/>
      <c r="BM24" s="34"/>
      <c r="BN24" s="34"/>
      <c r="BO24" s="36"/>
    </row>
    <row r="25">
      <c r="B25" s="27" t="s">
        <v>46</v>
      </c>
      <c r="C25" s="47">
        <v>43176.0</v>
      </c>
      <c r="D25" s="47">
        <v>43180.0</v>
      </c>
      <c r="E25" s="29">
        <f t="shared" si="3"/>
        <v>4</v>
      </c>
      <c r="F25" s="27" t="s">
        <v>35</v>
      </c>
      <c r="G25" s="50">
        <v>0.2</v>
      </c>
      <c r="H25" s="31"/>
      <c r="I25" s="32"/>
      <c r="J25" s="33"/>
      <c r="K25" s="33"/>
      <c r="L25" s="33"/>
      <c r="M25" s="34"/>
      <c r="N25" s="34"/>
      <c r="O25" s="34"/>
      <c r="P25" s="34"/>
      <c r="Q25" s="34"/>
      <c r="R25" s="33"/>
      <c r="S25" s="33"/>
      <c r="T25" s="33"/>
      <c r="U25" s="33"/>
      <c r="V25" s="33"/>
      <c r="W25" s="34"/>
      <c r="X25" s="34"/>
      <c r="Y25" s="34"/>
      <c r="Z25" s="34"/>
      <c r="AA25" s="34"/>
      <c r="AB25" s="35"/>
      <c r="AC25" s="35"/>
      <c r="AD25" s="35"/>
      <c r="AE25" s="35"/>
      <c r="AF25" s="35"/>
      <c r="AG25" s="34"/>
      <c r="AH25" s="34"/>
      <c r="AI25" s="34"/>
      <c r="AJ25" s="34"/>
      <c r="AK25" s="34"/>
      <c r="AL25" s="35"/>
      <c r="AM25" s="35"/>
      <c r="AN25" s="35"/>
      <c r="AO25" s="35"/>
      <c r="AP25" s="35"/>
      <c r="AQ25" s="34"/>
      <c r="AR25" s="34"/>
      <c r="AS25" s="34"/>
      <c r="AT25" s="34"/>
      <c r="AU25" s="34"/>
      <c r="AV25" s="33"/>
      <c r="AW25" s="33"/>
      <c r="AX25" s="33"/>
      <c r="AY25" s="33"/>
      <c r="AZ25" s="33"/>
      <c r="BA25" s="34"/>
      <c r="BB25" s="34"/>
      <c r="BC25" s="34"/>
      <c r="BD25" s="34"/>
      <c r="BE25" s="34"/>
      <c r="BF25" s="35"/>
      <c r="BG25" s="35"/>
      <c r="BH25" s="35"/>
      <c r="BI25" s="35"/>
      <c r="BJ25" s="35"/>
      <c r="BK25" s="34"/>
      <c r="BL25" s="34"/>
      <c r="BM25" s="34"/>
      <c r="BN25" s="34"/>
      <c r="BO25" s="36"/>
    </row>
    <row r="26">
      <c r="B26" s="27" t="s">
        <v>47</v>
      </c>
      <c r="C26" s="47">
        <v>43179.0</v>
      </c>
      <c r="D26" s="47">
        <v>43184.0</v>
      </c>
      <c r="E26" s="29">
        <f t="shared" si="3"/>
        <v>5</v>
      </c>
      <c r="F26" s="27" t="s">
        <v>26</v>
      </c>
      <c r="G26" s="50">
        <v>0.1</v>
      </c>
      <c r="H26" s="31"/>
      <c r="I26" s="32"/>
      <c r="J26" s="33"/>
      <c r="K26" s="33"/>
      <c r="L26" s="33"/>
      <c r="M26" s="34"/>
      <c r="N26" s="34"/>
      <c r="O26" s="34"/>
      <c r="P26" s="34"/>
      <c r="Q26" s="34"/>
      <c r="R26" s="33"/>
      <c r="S26" s="33"/>
      <c r="T26" s="33"/>
      <c r="U26" s="33"/>
      <c r="V26" s="33"/>
      <c r="W26" s="34"/>
      <c r="X26" s="34"/>
      <c r="Y26" s="34"/>
      <c r="Z26" s="34"/>
      <c r="AA26" s="34"/>
      <c r="AB26" s="35"/>
      <c r="AC26" s="35"/>
      <c r="AD26" s="35"/>
      <c r="AE26" s="35"/>
      <c r="AF26" s="35"/>
      <c r="AG26" s="34"/>
      <c r="AH26" s="34"/>
      <c r="AI26" s="34"/>
      <c r="AJ26" s="34"/>
      <c r="AK26" s="34"/>
      <c r="AL26" s="35"/>
      <c r="AM26" s="35"/>
      <c r="AN26" s="35"/>
      <c r="AO26" s="35"/>
      <c r="AP26" s="35"/>
      <c r="AQ26" s="34"/>
      <c r="AR26" s="34"/>
      <c r="AS26" s="34"/>
      <c r="AT26" s="34"/>
      <c r="AU26" s="34"/>
      <c r="AV26" s="33"/>
      <c r="AW26" s="33"/>
      <c r="AX26" s="33"/>
      <c r="AY26" s="33"/>
      <c r="AZ26" s="33"/>
      <c r="BA26" s="34"/>
      <c r="BB26" s="34"/>
      <c r="BC26" s="34"/>
      <c r="BD26" s="34"/>
      <c r="BE26" s="34"/>
      <c r="BF26" s="35"/>
      <c r="BG26" s="35"/>
      <c r="BH26" s="35"/>
      <c r="BI26" s="35"/>
      <c r="BJ26" s="35"/>
      <c r="BK26" s="34"/>
      <c r="BL26" s="34"/>
      <c r="BM26" s="34"/>
      <c r="BN26" s="34"/>
      <c r="BO26" s="36"/>
    </row>
    <row r="27">
      <c r="A27" s="21" t="s">
        <v>48</v>
      </c>
      <c r="B27" s="43"/>
      <c r="C27" s="43"/>
      <c r="D27" s="23"/>
      <c r="E27" s="23"/>
      <c r="F27" s="23"/>
      <c r="G27" s="23"/>
      <c r="H27" s="44"/>
      <c r="I27" s="45"/>
      <c r="J27" s="46"/>
      <c r="K27" s="4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</row>
    <row r="28">
      <c r="B28" s="27" t="s">
        <v>49</v>
      </c>
      <c r="C28" s="47">
        <v>43195.0</v>
      </c>
      <c r="D28" s="47">
        <v>43198.0</v>
      </c>
      <c r="E28" s="29">
        <f t="shared" ref="E28:E31" si="4">DAYS360(C28,D28)</f>
        <v>3</v>
      </c>
      <c r="F28" s="27" t="s">
        <v>26</v>
      </c>
      <c r="G28" s="50">
        <v>1.0</v>
      </c>
      <c r="H28" s="31"/>
      <c r="I28" s="32"/>
      <c r="J28" s="33"/>
      <c r="K28" s="33"/>
      <c r="L28" s="33"/>
      <c r="M28" s="34"/>
      <c r="N28" s="34"/>
      <c r="O28" s="34"/>
      <c r="P28" s="34"/>
      <c r="Q28" s="34"/>
      <c r="R28" s="33"/>
      <c r="S28" s="33"/>
      <c r="T28" s="33"/>
      <c r="U28" s="33"/>
      <c r="V28" s="33"/>
      <c r="W28" s="34"/>
      <c r="X28" s="34"/>
      <c r="Y28" s="34"/>
      <c r="Z28" s="34"/>
      <c r="AA28" s="34"/>
      <c r="AB28" s="35"/>
      <c r="AC28" s="35"/>
      <c r="AD28" s="35"/>
      <c r="AE28" s="35"/>
      <c r="AF28" s="35"/>
      <c r="AG28" s="34"/>
      <c r="AH28" s="34"/>
      <c r="AI28" s="34"/>
      <c r="AJ28" s="34"/>
      <c r="AK28" s="34"/>
      <c r="AL28" s="35"/>
      <c r="AM28" s="35"/>
      <c r="AN28" s="35"/>
      <c r="AO28" s="35"/>
      <c r="AP28" s="35"/>
      <c r="AQ28" s="34"/>
      <c r="AR28" s="34"/>
      <c r="AS28" s="34"/>
      <c r="AT28" s="34"/>
      <c r="AU28" s="34"/>
      <c r="AV28" s="33"/>
      <c r="AW28" s="33"/>
      <c r="AX28" s="33"/>
      <c r="AY28" s="33"/>
      <c r="AZ28" s="33"/>
      <c r="BA28" s="34"/>
      <c r="BB28" s="34"/>
      <c r="BC28" s="34"/>
      <c r="BD28" s="34"/>
      <c r="BE28" s="34"/>
      <c r="BF28" s="35"/>
      <c r="BG28" s="35"/>
      <c r="BH28" s="35"/>
      <c r="BI28" s="35"/>
      <c r="BJ28" s="35"/>
      <c r="BK28" s="34"/>
      <c r="BL28" s="34"/>
      <c r="BM28" s="34"/>
      <c r="BN28" s="34"/>
      <c r="BO28" s="36"/>
    </row>
    <row r="29">
      <c r="B29" s="27" t="s">
        <v>50</v>
      </c>
      <c r="C29" s="47">
        <v>43198.0</v>
      </c>
      <c r="D29" s="47">
        <v>43200.0</v>
      </c>
      <c r="E29" s="29">
        <f t="shared" si="4"/>
        <v>2</v>
      </c>
      <c r="F29" s="27" t="s">
        <v>27</v>
      </c>
      <c r="G29" s="50">
        <v>0.8</v>
      </c>
      <c r="H29" s="31"/>
      <c r="I29" s="32"/>
      <c r="J29" s="33"/>
      <c r="K29" s="33"/>
      <c r="L29" s="33"/>
      <c r="M29" s="34"/>
      <c r="N29" s="34"/>
      <c r="O29" s="34"/>
      <c r="P29" s="34"/>
      <c r="Q29" s="34"/>
      <c r="R29" s="33"/>
      <c r="S29" s="33"/>
      <c r="T29" s="33"/>
      <c r="U29" s="33"/>
      <c r="V29" s="33"/>
      <c r="W29" s="34"/>
      <c r="X29" s="34"/>
      <c r="Y29" s="34"/>
      <c r="Z29" s="34"/>
      <c r="AA29" s="34"/>
      <c r="AB29" s="35"/>
      <c r="AC29" s="35"/>
      <c r="AD29" s="35"/>
      <c r="AE29" s="35"/>
      <c r="AF29" s="35"/>
      <c r="AG29" s="34"/>
      <c r="AH29" s="34"/>
      <c r="AI29" s="34"/>
      <c r="AJ29" s="34"/>
      <c r="AK29" s="34"/>
      <c r="AL29" s="35"/>
      <c r="AM29" s="35"/>
      <c r="AN29" s="35"/>
      <c r="AO29" s="35"/>
      <c r="AP29" s="35"/>
      <c r="AQ29" s="34"/>
      <c r="AR29" s="34"/>
      <c r="AS29" s="34"/>
      <c r="AT29" s="34"/>
      <c r="AU29" s="34"/>
      <c r="AV29" s="33"/>
      <c r="AW29" s="33"/>
      <c r="AX29" s="33"/>
      <c r="AY29" s="33"/>
      <c r="AZ29" s="33"/>
      <c r="BA29" s="34"/>
      <c r="BB29" s="34"/>
      <c r="BC29" s="34"/>
      <c r="BD29" s="34"/>
      <c r="BE29" s="34"/>
      <c r="BF29" s="35"/>
      <c r="BG29" s="35"/>
      <c r="BH29" s="35"/>
      <c r="BI29" s="35"/>
      <c r="BJ29" s="35"/>
      <c r="BK29" s="34"/>
      <c r="BL29" s="34"/>
      <c r="BM29" s="34"/>
      <c r="BN29" s="34"/>
      <c r="BO29" s="36"/>
    </row>
    <row r="30">
      <c r="B30" s="27" t="s">
        <v>51</v>
      </c>
      <c r="C30" s="47">
        <v>43201.0</v>
      </c>
      <c r="D30" s="47">
        <v>43206.0</v>
      </c>
      <c r="E30" s="29">
        <f t="shared" si="4"/>
        <v>5</v>
      </c>
      <c r="F30" s="27" t="s">
        <v>31</v>
      </c>
      <c r="G30" s="50">
        <v>0.6</v>
      </c>
      <c r="H30" s="31"/>
      <c r="I30" s="32"/>
      <c r="J30" s="33"/>
      <c r="K30" s="33"/>
      <c r="L30" s="33"/>
      <c r="M30" s="34"/>
      <c r="N30" s="34"/>
      <c r="O30" s="34"/>
      <c r="P30" s="34"/>
      <c r="Q30" s="34"/>
      <c r="R30" s="33"/>
      <c r="S30" s="33"/>
      <c r="T30" s="33"/>
      <c r="U30" s="33"/>
      <c r="V30" s="33"/>
      <c r="W30" s="34"/>
      <c r="X30" s="34"/>
      <c r="Y30" s="34"/>
      <c r="Z30" s="34"/>
      <c r="AA30" s="34"/>
      <c r="AB30" s="35"/>
      <c r="AC30" s="35"/>
      <c r="AD30" s="35"/>
      <c r="AE30" s="35"/>
      <c r="AF30" s="35"/>
      <c r="AG30" s="34"/>
      <c r="AH30" s="34"/>
      <c r="AI30" s="34"/>
      <c r="AJ30" s="34"/>
      <c r="AK30" s="34"/>
      <c r="AL30" s="35"/>
      <c r="AM30" s="35"/>
      <c r="AN30" s="35"/>
      <c r="AO30" s="35"/>
      <c r="AP30" s="35"/>
      <c r="AQ30" s="34"/>
      <c r="AR30" s="34"/>
      <c r="AS30" s="34"/>
      <c r="AT30" s="34"/>
      <c r="AU30" s="34"/>
      <c r="AV30" s="33"/>
      <c r="AW30" s="33"/>
      <c r="AX30" s="33"/>
      <c r="AY30" s="33"/>
      <c r="AZ30" s="33"/>
      <c r="BA30" s="34"/>
      <c r="BB30" s="34"/>
      <c r="BC30" s="34"/>
      <c r="BD30" s="34"/>
      <c r="BE30" s="34"/>
      <c r="BF30" s="35"/>
      <c r="BG30" s="35"/>
      <c r="BH30" s="35"/>
      <c r="BI30" s="35"/>
      <c r="BJ30" s="35"/>
      <c r="BK30" s="34"/>
      <c r="BL30" s="34"/>
      <c r="BM30" s="34"/>
      <c r="BN30" s="34"/>
      <c r="BO30" s="36"/>
    </row>
    <row r="31">
      <c r="B31" s="27" t="s">
        <v>52</v>
      </c>
      <c r="C31" s="47">
        <v>43204.0</v>
      </c>
      <c r="D31" s="47">
        <v>43208.0</v>
      </c>
      <c r="E31" s="29">
        <f t="shared" si="4"/>
        <v>4</v>
      </c>
      <c r="F31" s="27" t="s">
        <v>33</v>
      </c>
      <c r="G31" s="50">
        <v>0.4</v>
      </c>
      <c r="H31" s="31"/>
      <c r="I31" s="32"/>
      <c r="J31" s="33"/>
      <c r="K31" s="33"/>
      <c r="L31" s="33"/>
      <c r="M31" s="34"/>
      <c r="N31" s="34"/>
      <c r="O31" s="34"/>
      <c r="P31" s="34"/>
      <c r="Q31" s="34"/>
      <c r="R31" s="33"/>
      <c r="S31" s="33"/>
      <c r="T31" s="33"/>
      <c r="U31" s="33"/>
      <c r="V31" s="33"/>
      <c r="W31" s="34"/>
      <c r="X31" s="34"/>
      <c r="Y31" s="34"/>
      <c r="Z31" s="34"/>
      <c r="AA31" s="34"/>
      <c r="AB31" s="35"/>
      <c r="AC31" s="35"/>
      <c r="AD31" s="35"/>
      <c r="AE31" s="35"/>
      <c r="AF31" s="35"/>
      <c r="AG31" s="34"/>
      <c r="AH31" s="34"/>
      <c r="AI31" s="34"/>
      <c r="AJ31" s="34"/>
      <c r="AK31" s="34"/>
      <c r="AL31" s="35"/>
      <c r="AM31" s="35"/>
      <c r="AN31" s="35"/>
      <c r="AO31" s="35"/>
      <c r="AP31" s="35"/>
      <c r="AQ31" s="34"/>
      <c r="AR31" s="34"/>
      <c r="AS31" s="34"/>
      <c r="AT31" s="34"/>
      <c r="AU31" s="34"/>
      <c r="AV31" s="33"/>
      <c r="AW31" s="33"/>
      <c r="AX31" s="33"/>
      <c r="AY31" s="33"/>
      <c r="AZ31" s="33"/>
      <c r="BA31" s="34"/>
      <c r="BB31" s="34"/>
      <c r="BC31" s="34"/>
      <c r="BD31" s="34"/>
      <c r="BE31" s="34"/>
      <c r="BF31" s="35"/>
      <c r="BG31" s="35"/>
      <c r="BH31" s="35"/>
      <c r="BI31" s="35"/>
      <c r="BJ31" s="35"/>
      <c r="BK31" s="34"/>
      <c r="BL31" s="34"/>
      <c r="BM31" s="34"/>
      <c r="BN31" s="34"/>
      <c r="BO31" s="36"/>
    </row>
    <row r="32">
      <c r="A32" s="52"/>
      <c r="B32" s="2"/>
      <c r="C32" s="2"/>
      <c r="D32" s="2"/>
      <c r="E32" s="2"/>
      <c r="F32" s="2"/>
      <c r="G32" s="2"/>
    </row>
    <row r="33">
      <c r="A33" s="52"/>
      <c r="B33" s="2"/>
      <c r="C33" s="2"/>
      <c r="D33" s="2"/>
      <c r="E33" s="2"/>
      <c r="F33" s="2"/>
      <c r="G33" s="2"/>
    </row>
    <row r="34">
      <c r="A34" s="52"/>
      <c r="B34" s="2"/>
      <c r="C34" s="2"/>
      <c r="D34" s="2"/>
      <c r="E34" s="2"/>
      <c r="F34" s="2"/>
      <c r="G34" s="2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87"/>
      <c r="B996" s="5"/>
      <c r="C996" s="5"/>
      <c r="D996" s="5"/>
      <c r="E996" s="5"/>
      <c r="F996" s="5"/>
      <c r="G996" s="5"/>
    </row>
  </sheetData>
  <mergeCells count="24">
    <mergeCell ref="AL6:AP6"/>
    <mergeCell ref="AQ6:AU6"/>
    <mergeCell ref="AV6:AZ6"/>
    <mergeCell ref="BA6:BE6"/>
    <mergeCell ref="BF6:BJ6"/>
    <mergeCell ref="BK6:BO6"/>
    <mergeCell ref="G6:G7"/>
    <mergeCell ref="H6:L6"/>
    <mergeCell ref="M6:Q6"/>
    <mergeCell ref="R6:V6"/>
    <mergeCell ref="W6:AA6"/>
    <mergeCell ref="AB6:AF6"/>
    <mergeCell ref="AG6:AK6"/>
    <mergeCell ref="C8:G8"/>
    <mergeCell ref="C15:G15"/>
    <mergeCell ref="C20:G20"/>
    <mergeCell ref="C27:G27"/>
    <mergeCell ref="A3:G3"/>
    <mergeCell ref="A6:A7"/>
    <mergeCell ref="B6:B7"/>
    <mergeCell ref="C6:C7"/>
    <mergeCell ref="D6:D7"/>
    <mergeCell ref="E6:E7"/>
    <mergeCell ref="F6:F7"/>
  </mergeCells>
  <conditionalFormatting sqref="G9:G14 G16:G19 G21:G26 G28:G31">
    <cfRule type="colorScale" priority="1">
      <colorScale>
        <cfvo type="percent" val="0"/>
        <cfvo type="percent" val="100"/>
        <color rgb="FFFFFFFF"/>
        <color rgb="FF5CBCD6"/>
      </colorScale>
    </cfRule>
  </conditionalFormatting>
  <drawing r:id="rId1"/>
</worksheet>
</file>