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ights 👀" sheetId="1" r:id="rId5"/>
    <sheet state="visible" name="Transactions Start Here 🚀" sheetId="2" r:id="rId6"/>
  </sheets>
  <definedNames/>
  <calcPr/>
</workbook>
</file>

<file path=xl/sharedStrings.xml><?xml version="1.0" encoding="utf-8"?>
<sst xmlns="http://schemas.openxmlformats.org/spreadsheetml/2006/main" count="121" uniqueCount="70">
  <si>
    <t>Budget &amp; transaction tracking
template</t>
  </si>
  <si>
    <r>
      <rPr>
        <rFont val="Helvetica Neue"/>
        <color rgb="FF000000"/>
        <sz val="10.0"/>
      </rPr>
      <t xml:space="preserve">📍 Gather and log a full month's worth of card and bank transactions (required: </t>
    </r>
    <r>
      <rPr>
        <rFont val="Helvetica Neue"/>
        <b/>
        <color rgb="FF000000"/>
        <sz val="10.0"/>
      </rPr>
      <t>amount</t>
    </r>
    <r>
      <rPr>
        <rFont val="Helvetica Neue"/>
        <color rgb="FF000000"/>
        <sz val="10.0"/>
      </rPr>
      <t xml:space="preserve"> and </t>
    </r>
    <r>
      <rPr>
        <rFont val="Helvetica Neue"/>
        <b/>
        <color rgb="FF000000"/>
        <sz val="10.0"/>
      </rPr>
      <t>category</t>
    </r>
    <r>
      <rPr>
        <rFont val="Helvetica Neue"/>
        <color rgb="FF000000"/>
        <sz val="10.0"/>
      </rPr>
      <t>)</t>
    </r>
  </si>
  <si>
    <t>📍 Ignore transfers (e.g. a payment from a bank account to a card; from a bank to an investment account, etc.)</t>
  </si>
  <si>
    <r>
      <rPr>
        <rFont val="Helvetica Neue"/>
        <color rgb="FF000000"/>
        <sz val="10.0"/>
      </rPr>
      <t xml:space="preserve">📍 Add </t>
    </r>
    <r>
      <rPr>
        <rFont val="Helvetica Neue"/>
        <b/>
        <color rgb="FF000000"/>
        <sz val="10.0"/>
      </rPr>
      <t>categories</t>
    </r>
    <r>
      <rPr>
        <rFont val="Helvetica Neue"/>
        <color rgb="FF000000"/>
        <sz val="10.0"/>
      </rPr>
      <t xml:space="preserve"> by editing the </t>
    </r>
    <r>
      <rPr>
        <rFont val="Helvetica Neue"/>
        <b/>
        <color rgb="FF000000"/>
        <sz val="10.0"/>
      </rPr>
      <t>Custom-#</t>
    </r>
    <r>
      <rPr>
        <rFont val="Helvetica Neue"/>
        <color rgb="FF000000"/>
        <sz val="10.0"/>
      </rPr>
      <t xml:space="preserve"> cell(s) on the </t>
    </r>
    <r>
      <rPr>
        <rFont val="Helvetica Neue"/>
        <b/>
        <color rgb="FF000000"/>
        <sz val="10.0"/>
      </rPr>
      <t>Insights</t>
    </r>
    <r>
      <rPr>
        <rFont val="Helvetica Neue"/>
        <color rgb="FF000000"/>
        <sz val="10.0"/>
      </rPr>
      <t xml:space="preserve"> tab; it will now show in the </t>
    </r>
    <r>
      <rPr>
        <rFont val="Helvetica Neue"/>
        <b/>
        <color rgb="FF000000"/>
        <sz val="10.0"/>
      </rPr>
      <t>category</t>
    </r>
    <r>
      <rPr>
        <rFont val="Helvetica Neue"/>
        <color rgb="FF000000"/>
        <sz val="10.0"/>
      </rPr>
      <t xml:space="preserve"> dropdown</t>
    </r>
  </si>
  <si>
    <t>Income</t>
  </si>
  <si>
    <t>Expenses</t>
  </si>
  <si>
    <t>Date</t>
  </si>
  <si>
    <t>Amount</t>
  </si>
  <si>
    <t>Title</t>
  </si>
  <si>
    <t>Category</t>
  </si>
  <si>
    <t>Paycheck</t>
  </si>
  <si>
    <t>🔨 Work</t>
  </si>
  <si>
    <t>Whole Foods</t>
  </si>
  <si>
    <t>🥝 Grocery</t>
  </si>
  <si>
    <t>Moonflower</t>
  </si>
  <si>
    <t>Commission</t>
  </si>
  <si>
    <t>💵 Other</t>
  </si>
  <si>
    <t>Gym</t>
  </si>
  <si>
    <t>🧘‍♂️ Wellness</t>
  </si>
  <si>
    <t>Safeway</t>
  </si>
  <si>
    <t>Airbnb</t>
  </si>
  <si>
    <r>
      <rPr>
        <rFont val="Helvetica Neue"/>
        <color rgb="FF000000"/>
        <sz val="10.0"/>
      </rPr>
      <t xml:space="preserve">📍 </t>
    </r>
    <r>
      <rPr>
        <rFont val="Helvetica Neue"/>
        <b/>
        <color rgb="FF000000"/>
        <sz val="10.0"/>
      </rPr>
      <t>Select File &gt; Make a copy</t>
    </r>
    <r>
      <rPr>
        <rFont val="Helvetica Neue"/>
        <color rgb="FF000000"/>
        <sz val="10.0"/>
      </rPr>
      <t xml:space="preserve"> before editing this sheet; note that only </t>
    </r>
    <r>
      <rPr>
        <rFont val="Helvetica Neue"/>
        <b/>
        <color rgb="FFCC0000"/>
        <sz val="10.0"/>
      </rPr>
      <t>red highighted cells</t>
    </r>
    <r>
      <rPr>
        <rFont val="Helvetica Neue"/>
        <color rgb="FF000000"/>
        <sz val="10.0"/>
      </rPr>
      <t xml:space="preserve"> are editable</t>
    </r>
  </si>
  <si>
    <t>✈️ Travel</t>
  </si>
  <si>
    <r>
      <rPr>
        <rFont val="Helvetica Neue"/>
        <color rgb="FF000000"/>
        <sz val="10.0"/>
      </rPr>
      <t xml:space="preserve">📍 Log your transactions in the </t>
    </r>
    <r>
      <rPr>
        <rFont val="Helvetica Neue"/>
        <b/>
        <color rgb="FF000000"/>
        <sz val="10.0"/>
      </rPr>
      <t>Transactions</t>
    </r>
    <r>
      <rPr>
        <rFont val="Helvetica Neue"/>
        <color rgb="FF000000"/>
        <sz val="10.0"/>
      </rPr>
      <t xml:space="preserve"> tab, then metrics below will auto-magically populate!</t>
    </r>
  </si>
  <si>
    <r>
      <rPr>
        <rFont val="Helvetica Neue"/>
        <color rgb="FF000000"/>
        <sz val="10.0"/>
      </rPr>
      <t xml:space="preserve">📍 </t>
    </r>
    <r>
      <rPr>
        <rFont val="Helvetica Neue"/>
        <b/>
        <color rgb="FF000000"/>
        <sz val="10.0"/>
      </rPr>
      <t>Input</t>
    </r>
    <r>
      <rPr>
        <rFont val="Helvetica Neue"/>
        <color rgb="FF000000"/>
        <sz val="10.0"/>
      </rPr>
      <t xml:space="preserve"> your planned income and expenses in the </t>
    </r>
    <r>
      <rPr>
        <rFont val="Helvetica Neue"/>
        <b/>
        <color rgb="FFCC0000"/>
        <sz val="10.0"/>
      </rPr>
      <t>red highlighted cells</t>
    </r>
    <r>
      <rPr>
        <rFont val="Helvetica Neue"/>
        <color rgb="FF000000"/>
        <sz val="10.0"/>
      </rPr>
      <t>, then explore your own insights!</t>
    </r>
  </si>
  <si>
    <t>Chevron</t>
  </si>
  <si>
    <t>🚘 Transportation</t>
  </si>
  <si>
    <t>Summary</t>
  </si>
  <si>
    <t>Expense Breakdown</t>
  </si>
  <si>
    <t>State Farm</t>
  </si>
  <si>
    <t>🧷 Insurance</t>
  </si>
  <si>
    <t>Gift</t>
  </si>
  <si>
    <t>🎗 Giving</t>
  </si>
  <si>
    <t>Glossier</t>
  </si>
  <si>
    <t>💫 Personal</t>
  </si>
  <si>
    <t>Happy Hour</t>
  </si>
  <si>
    <t>🍔 Dining</t>
  </si>
  <si>
    <t>Trader Joe's</t>
  </si>
  <si>
    <t>Coffee Shop</t>
  </si>
  <si>
    <t>Amazon (Dog Food)</t>
  </si>
  <si>
    <t>🐶 Pet</t>
  </si>
  <si>
    <t>Savings</t>
  </si>
  <si>
    <t>City Books</t>
  </si>
  <si>
    <t>Amazon</t>
  </si>
  <si>
    <t>🛍 Shopping</t>
  </si>
  <si>
    <t>City Market</t>
  </si>
  <si>
    <t>Amazon (Charger)</t>
  </si>
  <si>
    <t>🙉 Other</t>
  </si>
  <si>
    <t>Netflix</t>
  </si>
  <si>
    <t>Planned</t>
  </si>
  <si>
    <t>🍿 Entertainment</t>
  </si>
  <si>
    <t>Spotify</t>
  </si>
  <si>
    <t>Verizon</t>
  </si>
  <si>
    <t>📞 Phone</t>
  </si>
  <si>
    <t>Actual</t>
  </si>
  <si>
    <t>Rent</t>
  </si>
  <si>
    <t>🏡 Rent</t>
  </si>
  <si>
    <t>Utilities</t>
  </si>
  <si>
    <t>⚡️ Utility</t>
  </si>
  <si>
    <t>Diff</t>
  </si>
  <si>
    <t>Cofee Shop</t>
  </si>
  <si>
    <t>Totals</t>
  </si>
  <si>
    <t>Custom-1</t>
  </si>
  <si>
    <t>📚 Loan</t>
  </si>
  <si>
    <t>💪 Gym</t>
  </si>
  <si>
    <t>🏡 Home Good</t>
  </si>
  <si>
    <t>👩‍⚕️ Medical</t>
  </si>
  <si>
    <t>💵 Interest</t>
  </si>
  <si>
    <t>Custom-2</t>
  </si>
  <si>
    <t>Custom-3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</si>
</sst>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  <numFmt numFmtId="166" formatCode="m/d/yy"/>
    <numFmt numFmtId="167" formatCode="&quot;$&quot;#,##0"/>
  </numFmts>
  <fonts count="25">
    <font>
      <sz val="10.0"/>
      <color rgb="FF000000"/>
      <name val="Verdana"/>
      <scheme val="minor"/>
    </font>
    <font>
      <color rgb="FFFFFFFF"/>
      <name val="Helvetica Neue"/>
    </font>
    <font>
      <b/>
      <sz val="36.0"/>
      <color rgb="FF000000"/>
      <name val="Helvetica Neue"/>
    </font>
    <font>
      <sz val="10.0"/>
      <color rgb="FFFFFFFF"/>
      <name val="Helvetica Neue"/>
    </font>
    <font>
      <sz val="10.0"/>
      <color rgb="FF000000"/>
      <name val="Helvetica Neue"/>
    </font>
    <font>
      <color rgb="FF000000"/>
      <name val="Helvetica Neue"/>
    </font>
    <font>
      <color rgb="FF76A5AF"/>
      <name val="Helvetica Neue"/>
    </font>
    <font>
      <b/>
      <sz val="18.0"/>
      <color rgb="FF000000"/>
      <name val="Helvetica Neue"/>
    </font>
    <font>
      <color rgb="FF38761D"/>
      <name val="Helvetica Neue"/>
    </font>
    <font>
      <i/>
      <color rgb="FF38761D"/>
      <name val="Helvetica Neue"/>
    </font>
    <font>
      <b/>
      <color rgb="FF000000"/>
      <name val="Helvetica Neue"/>
    </font>
    <font>
      <sz val="9.0"/>
      <color theme="1"/>
      <name val="Helvetica Neue"/>
    </font>
    <font>
      <color theme="1"/>
      <name val="Helvetica Neue"/>
    </font>
    <font>
      <sz val="14.0"/>
      <color rgb="FF38761D"/>
      <name val="Helvetica Neue"/>
    </font>
    <font>
      <i/>
      <color rgb="FF000000"/>
      <name val="Helvetica Neue"/>
    </font>
    <font>
      <i/>
      <color theme="1"/>
      <name val="Helvetica Neue"/>
    </font>
    <font>
      <b/>
      <sz val="10.0"/>
      <color theme="1"/>
      <name val="Helvetica Neue"/>
    </font>
    <font>
      <b/>
      <color theme="1"/>
      <name val="Helvetica Neue"/>
    </font>
    <font>
      <b/>
      <sz val="14.0"/>
      <color rgb="FF38761D"/>
      <name val="Helvetica Neue"/>
    </font>
    <font>
      <sz val="12.0"/>
      <color theme="1"/>
      <name val="Helvetica Neue"/>
    </font>
    <font>
      <sz val="9.0"/>
      <color rgb="FF000000"/>
      <name val="Helvetica Neue"/>
    </font>
    <font>
      <sz val="11.0"/>
      <color theme="1"/>
      <name val="Helvetica Neue"/>
    </font>
    <font/>
    <font>
      <b/>
      <sz val="14.0"/>
      <color theme="1"/>
      <name val="Helvetica Neue"/>
    </font>
    <font>
      <sz val="24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1">
    <border/>
    <border>
      <top style="thin">
        <color rgb="FFC9DAF8"/>
      </top>
      <bottom style="thin">
        <color rgb="FFC9DAF8"/>
      </bottom>
    </border>
    <border>
      <left style="hair">
        <color rgb="FF1F3E78"/>
      </left>
      <top style="hair">
        <color rgb="FF1F3E78"/>
      </top>
    </border>
    <border>
      <top style="hair">
        <color rgb="FF1F3E78"/>
      </top>
    </border>
    <border>
      <right style="hair">
        <color rgb="FF1F3E78"/>
      </right>
      <top style="hair">
        <color rgb="FF1F3E78"/>
      </top>
    </border>
    <border>
      <left style="hair">
        <color rgb="FF1F3E78"/>
      </left>
    </border>
    <border>
      <right style="hair">
        <color rgb="FF1F3E78"/>
      </right>
    </border>
    <border>
      <left style="hair">
        <color rgb="FF1F3E78"/>
      </left>
      <bottom style="hair">
        <color rgb="FF1F3E78"/>
      </bottom>
    </border>
    <border>
      <bottom style="hair">
        <color rgb="FF1F3E78"/>
      </bottom>
    </border>
    <border>
      <right style="hair">
        <color rgb="FF1F3E78"/>
      </right>
      <bottom style="hair">
        <color rgb="FF1F3E78"/>
      </bottom>
    </border>
    <border>
      <bottom style="thin">
        <color rgb="FF1F3E78"/>
      </bottom>
    </border>
    <border>
      <top style="thin">
        <color rgb="FF76A5AF"/>
      </top>
    </border>
    <border>
      <bottom style="thin">
        <color rgb="FF76A5A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vertical="center"/>
    </xf>
    <xf borderId="0" fillId="2" fontId="4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5" numFmtId="0" xfId="0" applyAlignment="1" applyFont="1">
      <alignment horizontal="left"/>
    </xf>
    <xf borderId="0" fillId="0" fontId="8" numFmtId="164" xfId="0" applyAlignment="1" applyFont="1" applyNumberFormat="1">
      <alignment horizontal="right"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horizontal="left" readingOrder="0"/>
    </xf>
    <xf borderId="0" fillId="0" fontId="10" numFmtId="164" xfId="0" applyAlignment="1" applyFont="1" applyNumberFormat="1">
      <alignment horizontal="right" readingOrder="0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horizontal="right"/>
    </xf>
    <xf borderId="0" fillId="0" fontId="8" numFmtId="0" xfId="0" applyFont="1"/>
    <xf borderId="0" fillId="0" fontId="10" numFmtId="165" xfId="0" applyAlignment="1" applyFont="1" applyNumberFormat="1">
      <alignment horizontal="right" readingOrder="0"/>
    </xf>
    <xf borderId="0" fillId="0" fontId="8" numFmtId="0" xfId="0" applyAlignment="1" applyFont="1">
      <alignment horizontal="right"/>
    </xf>
    <xf borderId="0" fillId="0" fontId="9" numFmtId="164" xfId="0" applyAlignment="1" applyFont="1" applyNumberFormat="1">
      <alignment vertical="center"/>
    </xf>
    <xf borderId="0" fillId="0" fontId="11" numFmtId="0" xfId="0" applyFont="1"/>
    <xf borderId="1" fillId="3" fontId="11" numFmtId="166" xfId="0" applyAlignment="1" applyBorder="1" applyFill="1" applyFont="1" applyNumberFormat="1">
      <alignment horizontal="left" readingOrder="0"/>
    </xf>
    <xf borderId="1" fillId="3" fontId="11" numFmtId="164" xfId="0" applyAlignment="1" applyBorder="1" applyFont="1" applyNumberFormat="1">
      <alignment readingOrder="0"/>
    </xf>
    <xf borderId="1" fillId="3" fontId="11" numFmtId="0" xfId="0" applyAlignment="1" applyBorder="1" applyFont="1">
      <alignment readingOrder="0"/>
    </xf>
    <xf borderId="1" fillId="3" fontId="11" numFmtId="0" xfId="0" applyBorder="1" applyFont="1"/>
    <xf borderId="1" fillId="3" fontId="11" numFmtId="165" xfId="0" applyAlignment="1" applyBorder="1" applyFont="1" applyNumberFormat="1">
      <alignment readingOrder="0"/>
    </xf>
    <xf borderId="1" fillId="3" fontId="11" numFmtId="0" xfId="0" applyAlignment="1" applyBorder="1" applyFont="1">
      <alignment readingOrder="0"/>
    </xf>
    <xf borderId="0" fillId="0" fontId="11" numFmtId="164" xfId="0" applyFont="1" applyNumberFormat="1"/>
    <xf borderId="1" fillId="3" fontId="11" numFmtId="0" xfId="0" applyAlignment="1" applyBorder="1" applyFont="1">
      <alignment horizontal="left"/>
    </xf>
    <xf borderId="1" fillId="3" fontId="11" numFmtId="164" xfId="0" applyBorder="1" applyFont="1" applyNumberFormat="1"/>
    <xf borderId="1" fillId="3" fontId="12" numFmtId="0" xfId="0" applyBorder="1" applyFont="1"/>
    <xf borderId="0" fillId="2" fontId="4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left" readingOrder="0" vertical="center"/>
    </xf>
    <xf borderId="0" fillId="0" fontId="14" numFmtId="0" xfId="0" applyAlignment="1" applyFont="1">
      <alignment readingOrder="0" vertical="center"/>
    </xf>
    <xf borderId="0" fillId="0" fontId="12" numFmtId="0" xfId="0" applyFont="1"/>
    <xf borderId="1" fillId="3" fontId="11" numFmtId="167" xfId="0" applyAlignment="1" applyBorder="1" applyFont="1" applyNumberFormat="1">
      <alignment horizontal="left"/>
    </xf>
    <xf borderId="0" fillId="0" fontId="15" numFmtId="164" xfId="0" applyAlignment="1" applyFont="1" applyNumberFormat="1">
      <alignment vertical="center"/>
    </xf>
    <xf borderId="0" fillId="0" fontId="12" numFmtId="0" xfId="0" applyAlignment="1" applyFont="1">
      <alignment readingOrder="0"/>
    </xf>
    <xf borderId="0" fillId="0" fontId="16" numFmtId="0" xfId="0" applyAlignment="1" applyFont="1">
      <alignment readingOrder="0" vertical="center"/>
    </xf>
    <xf borderId="0" fillId="0" fontId="12" numFmtId="164" xfId="0" applyFont="1" applyNumberFormat="1"/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left" readingOrder="0" vertical="center"/>
    </xf>
    <xf borderId="2" fillId="0" fontId="19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readingOrder="0"/>
    </xf>
    <xf borderId="3" fillId="0" fontId="21" numFmtId="0" xfId="0" applyAlignment="1" applyBorder="1" applyFont="1">
      <alignment horizontal="center" shrinkToFit="0" vertical="center" wrapText="1"/>
    </xf>
    <xf borderId="3" fillId="0" fontId="22" numFmtId="0" xfId="0" applyBorder="1" applyFont="1"/>
    <xf borderId="4" fillId="0" fontId="22" numFmtId="0" xfId="0" applyBorder="1" applyFont="1"/>
    <xf borderId="5" fillId="0" fontId="16" numFmtId="167" xfId="0" applyAlignment="1" applyBorder="1" applyFont="1" applyNumberFormat="1">
      <alignment horizontal="center" readingOrder="0" shrinkToFit="0" vertical="center" wrapText="1"/>
    </xf>
    <xf borderId="6" fillId="0" fontId="22" numFmtId="0" xfId="0" applyBorder="1" applyFont="1"/>
    <xf borderId="0" fillId="0" fontId="17" numFmtId="164" xfId="0" applyAlignment="1" applyFont="1" applyNumberFormat="1">
      <alignment vertical="center"/>
    </xf>
    <xf borderId="5" fillId="0" fontId="22" numFmtId="0" xfId="0" applyBorder="1" applyFont="1"/>
    <xf borderId="5" fillId="0" fontId="23" numFmtId="167" xfId="0" applyAlignment="1" applyBorder="1" applyFont="1" applyNumberFormat="1">
      <alignment horizontal="center" shrinkToFit="0" vertical="center" wrapText="1"/>
    </xf>
    <xf borderId="7" fillId="0" fontId="19" numFmtId="167" xfId="0" applyAlignment="1" applyBorder="1" applyFont="1" applyNumberFormat="1">
      <alignment horizontal="center" shrinkToFit="0" vertical="center" wrapText="1"/>
    </xf>
    <xf borderId="8" fillId="0" fontId="19" numFmtId="167" xfId="0" applyAlignment="1" applyBorder="1" applyFont="1" applyNumberForma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1" fillId="3" fontId="11" numFmtId="164" xfId="0" applyAlignment="1" applyBorder="1" applyFont="1" applyNumberFormat="1">
      <alignment horizontal="left"/>
    </xf>
    <xf borderId="10" fillId="0" fontId="12" numFmtId="0" xfId="0" applyBorder="1" applyFont="1"/>
    <xf borderId="0" fillId="0" fontId="17" numFmtId="164" xfId="0" applyAlignment="1" applyFont="1" applyNumberFormat="1">
      <alignment readingOrder="0"/>
    </xf>
    <xf borderId="0" fillId="0" fontId="24" numFmtId="164" xfId="0" applyAlignment="1" applyFont="1" applyNumberFormat="1">
      <alignment horizontal="center" vertical="center"/>
    </xf>
    <xf borderId="11" fillId="0" fontId="6" numFmtId="0" xfId="0" applyAlignment="1" applyBorder="1" applyFont="1">
      <alignment readingOrder="0" vertical="center"/>
    </xf>
    <xf borderId="11" fillId="0" fontId="10" numFmtId="164" xfId="0" applyAlignment="1" applyBorder="1" applyFont="1" applyNumberFormat="1">
      <alignment horizontal="right" readingOrder="0" vertical="center"/>
    </xf>
    <xf borderId="12" fillId="0" fontId="10" numFmtId="0" xfId="0" applyAlignment="1" applyBorder="1" applyFont="1">
      <alignment readingOrder="0" vertical="center"/>
    </xf>
    <xf borderId="12" fillId="0" fontId="5" numFmtId="0" xfId="0" applyAlignment="1" applyBorder="1" applyFont="1">
      <alignment readingOrder="0" vertical="center"/>
    </xf>
    <xf borderId="12" fillId="0" fontId="5" numFmtId="164" xfId="0" applyAlignment="1" applyBorder="1" applyFont="1" applyNumberFormat="1">
      <alignment readingOrder="0" vertical="center"/>
    </xf>
    <xf borderId="1" fillId="3" fontId="11" numFmtId="165" xfId="0" applyBorder="1" applyFont="1" applyNumberFormat="1"/>
    <xf borderId="12" fillId="0" fontId="12" numFmtId="164" xfId="0" applyAlignment="1" applyBorder="1" applyFont="1" applyNumberFormat="1">
      <alignment vertical="center"/>
    </xf>
    <xf borderId="0" fillId="0" fontId="12" numFmtId="164" xfId="0" applyAlignment="1" applyFont="1" applyNumberFormat="1">
      <alignment readingOrder="0"/>
    </xf>
    <xf borderId="13" fillId="0" fontId="17" numFmtId="0" xfId="0" applyAlignment="1" applyBorder="1" applyFont="1">
      <alignment readingOrder="0"/>
    </xf>
    <xf borderId="14" fillId="0" fontId="12" numFmtId="0" xfId="0" applyAlignment="1" applyBorder="1" applyFont="1">
      <alignment readingOrder="0"/>
    </xf>
    <xf borderId="14" fillId="3" fontId="12" numFmtId="164" xfId="0" applyAlignment="1" applyBorder="1" applyFont="1" applyNumberFormat="1">
      <alignment readingOrder="0"/>
    </xf>
    <xf borderId="14" fillId="0" fontId="12" numFmtId="164" xfId="0" applyBorder="1" applyFont="1" applyNumberFormat="1"/>
    <xf borderId="15" fillId="0" fontId="12" numFmtId="164" xfId="0" applyBorder="1" applyFont="1" applyNumberFormat="1"/>
    <xf borderId="16" fillId="0" fontId="17" numFmtId="0" xfId="0" applyAlignment="1" applyBorder="1" applyFont="1">
      <alignment readingOrder="0"/>
    </xf>
    <xf borderId="17" fillId="0" fontId="12" numFmtId="0" xfId="0" applyAlignment="1" applyBorder="1" applyFont="1">
      <alignment readingOrder="0"/>
    </xf>
    <xf borderId="17" fillId="3" fontId="12" numFmtId="164" xfId="0" applyAlignment="1" applyBorder="1" applyFont="1" applyNumberFormat="1">
      <alignment readingOrder="0"/>
    </xf>
    <xf borderId="18" fillId="0" fontId="12" numFmtId="164" xfId="0" applyBorder="1" applyFont="1" applyNumberFormat="1"/>
    <xf borderId="19" fillId="0" fontId="17" numFmtId="0" xfId="0" applyAlignment="1" applyBorder="1" applyFont="1">
      <alignment readingOrder="0"/>
    </xf>
    <xf borderId="20" fillId="0" fontId="12" numFmtId="0" xfId="0" applyAlignment="1" applyBorder="1" applyFont="1">
      <alignment readingOrder="0"/>
    </xf>
    <xf borderId="20" fillId="3" fontId="12" numFmtId="164" xfId="0" applyAlignment="1" applyBorder="1" applyFont="1" applyNumberFormat="1">
      <alignment readingOrder="0"/>
    </xf>
    <xf borderId="16" fillId="3" fontId="17" numFmtId="0" xfId="0" applyAlignment="1" applyBorder="1" applyFont="1">
      <alignment readingOrder="0"/>
    </xf>
    <xf borderId="0" fillId="0" fontId="12" numFmtId="0" xfId="0" applyFont="1"/>
    <xf borderId="0" fillId="3" fontId="11" numFmtId="0" xfId="0" applyAlignment="1" applyFont="1">
      <alignment horizontal="left"/>
    </xf>
    <xf borderId="0" fillId="3" fontId="11" numFmtId="164" xfId="0" applyFont="1" applyNumberFormat="1"/>
    <xf borderId="0" fillId="3" fontId="11" numFmtId="0" xfId="0" applyFont="1"/>
    <xf borderId="0" fillId="3" fontId="11" numFmtId="165" xfId="0" applyFont="1" applyNumberFormat="1"/>
    <xf borderId="19" fillId="0" fontId="17" numFmtId="0" xfId="0" applyAlignment="1" applyBorder="1" applyFont="1">
      <alignment readingOrder="0" vertical="bottom"/>
    </xf>
    <xf borderId="20" fillId="0" fontId="12" numFmtId="0" xfId="0" applyAlignment="1" applyBorder="1" applyFont="1">
      <alignment vertical="bottom"/>
    </xf>
    <xf borderId="20" fillId="3" fontId="12" numFmtId="164" xfId="0" applyAlignment="1" applyBorder="1" applyFont="1" applyNumberFormat="1">
      <alignment horizontal="right" readingOrder="0" vertical="bottom"/>
    </xf>
    <xf borderId="16" fillId="0" fontId="17" numFmtId="0" xfId="0" applyAlignment="1" applyBorder="1" applyFont="1">
      <alignment readingOrder="0" vertical="bottom"/>
    </xf>
    <xf borderId="17" fillId="0" fontId="12" numFmtId="0" xfId="0" applyAlignment="1" applyBorder="1" applyFont="1">
      <alignment vertical="bottom"/>
    </xf>
    <xf borderId="17" fillId="3" fontId="12" numFmtId="164" xfId="0" applyAlignment="1" applyBorder="1" applyFont="1" applyNumberFormat="1">
      <alignment horizontal="right" readingOrder="0" vertical="bottom"/>
    </xf>
    <xf borderId="0" fillId="0" fontId="17" numFmtId="0" xfId="0" applyAlignment="1" applyFont="1">
      <alignment horizontal="left" readingOrder="0" vertical="center"/>
    </xf>
  </cellXfs>
  <cellStyles count="1">
    <cellStyle xfId="0" name="Normal" builtinId="0"/>
  </cellStyles>
  <dxfs count="2"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0796B"/>
              </a:solidFill>
            </c:spPr>
          </c:dPt>
          <c:dPt>
            <c:idx val="1"/>
            <c:spPr>
              <a:solidFill>
                <a:srgbClr val="BF8659"/>
              </a:solidFill>
            </c:spPr>
          </c:dPt>
          <c:dPt>
            <c:idx val="2"/>
            <c:spPr>
              <a:solidFill>
                <a:srgbClr val="00435E"/>
              </a:solidFill>
            </c:spPr>
          </c:dPt>
          <c:dPt>
            <c:idx val="3"/>
            <c:spPr>
              <a:solidFill>
                <a:srgbClr val="D9563F"/>
              </a:solidFill>
            </c:spPr>
          </c:dPt>
          <c:dPt>
            <c:idx val="4"/>
            <c:spPr>
              <a:solidFill>
                <a:srgbClr val="E7BB63"/>
              </a:solidFill>
            </c:spPr>
          </c:dPt>
          <c:dPt>
            <c:idx val="5"/>
            <c:spPr>
              <a:solidFill>
                <a:srgbClr val="144CF5"/>
              </a:solidFill>
            </c:spPr>
          </c:dPt>
          <c:dPt>
            <c:idx val="6"/>
            <c:spPr>
              <a:solidFill>
                <a:srgbClr val="4DA197"/>
              </a:solidFill>
            </c:spPr>
          </c:dPt>
          <c:dPt>
            <c:idx val="7"/>
            <c:spPr>
              <a:solidFill>
                <a:srgbClr val="D2AA8B"/>
              </a:solidFill>
            </c:spPr>
          </c:dPt>
          <c:dPt>
            <c:idx val="8"/>
            <c:spPr>
              <a:solidFill>
                <a:srgbClr val="4D7B8E"/>
              </a:solidFill>
            </c:spPr>
          </c:dPt>
          <c:dPt>
            <c:idx val="9"/>
            <c:spPr>
              <a:solidFill>
                <a:srgbClr val="E48979"/>
              </a:solidFill>
            </c:spPr>
          </c:dPt>
          <c:dPt>
            <c:idx val="10"/>
            <c:spPr>
              <a:solidFill>
                <a:srgbClr val="EECF92"/>
              </a:solidFill>
            </c:spPr>
          </c:dPt>
          <c:dPt>
            <c:idx val="11"/>
            <c:spPr>
              <a:solidFill>
                <a:srgbClr val="5B82F8"/>
              </a:solidFill>
            </c:spPr>
          </c:dPt>
          <c:dPt>
            <c:idx val="12"/>
            <c:spPr>
              <a:solidFill>
                <a:srgbClr val="99C9C4"/>
              </a:solidFill>
            </c:spPr>
          </c:dPt>
          <c:dPt>
            <c:idx val="13"/>
            <c:spPr>
              <a:solidFill>
                <a:srgbClr val="E5CFBD"/>
              </a:solidFill>
            </c:spPr>
          </c:dPt>
          <c:dPt>
            <c:idx val="14"/>
            <c:spPr>
              <a:solidFill>
                <a:srgbClr val="99B4BF"/>
              </a:solidFill>
            </c:spPr>
          </c:dPt>
          <c:dPt>
            <c:idx val="15"/>
            <c:spPr>
              <a:solidFill>
                <a:srgbClr val="F0BBB2"/>
              </a:solidFill>
            </c:spPr>
          </c:dPt>
          <c:dPt>
            <c:idx val="16"/>
            <c:spPr>
              <a:solidFill>
                <a:srgbClr val="F5E4C1"/>
              </a:solidFill>
            </c:spPr>
          </c:dPt>
          <c:dPt>
            <c:idx val="17"/>
            <c:spPr>
              <a:solidFill>
                <a:srgbClr val="A1B7FB"/>
              </a:solidFill>
            </c:spPr>
          </c:dPt>
          <c:dPt>
            <c:idx val="18"/>
            <c:spPr>
              <a:solidFill>
                <a:srgbClr val="E6F2F0"/>
              </a:solidFill>
            </c:spPr>
          </c:dPt>
          <c:dPt>
            <c:idx val="19"/>
            <c:spPr>
              <a:solidFill>
                <a:srgbClr val="F9F3EE"/>
              </a:solidFill>
            </c:spPr>
          </c:dPt>
          <c:dPt>
            <c:idx val="20"/>
            <c:spPr>
              <a:solidFill>
                <a:srgbClr val="E6ECEF"/>
              </a:solidFill>
            </c:spPr>
          </c:dPt>
          <c:dPt>
            <c:idx val="21"/>
            <c:spPr>
              <a:solidFill>
                <a:srgbClr val="FBEEEC"/>
              </a:solidFill>
            </c:spPr>
          </c:dPt>
          <c:dPt>
            <c:idx val="22"/>
            <c:spPr>
              <a:solidFill>
                <a:srgbClr val="FDF8EF"/>
              </a:solidFill>
            </c:spPr>
          </c:dPt>
          <c:dPt>
            <c:idx val="2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'Insights 👀'!$H$37:$H$60</c:f>
            </c:strRef>
          </c:cat>
          <c:val>
            <c:numRef>
              <c:f>'Insights 👀'!$K$37:$K$60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394E57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657225</xdr:colOff>
      <xdr:row>10</xdr:row>
      <xdr:rowOff>9525</xdr:rowOff>
    </xdr:from>
    <xdr:ext cx="3714750" cy="2381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5.67"/>
    <col customWidth="1" min="2" max="12" width="8.44"/>
    <col customWidth="1" min="13" max="13" width="5.67"/>
  </cols>
  <sheetData>
    <row r="1" ht="115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4"/>
      <c r="B2" s="5"/>
      <c r="M2" s="6"/>
    </row>
    <row r="3" ht="15.75" customHeight="1">
      <c r="A3" s="7"/>
      <c r="B3" s="8" t="s">
        <v>21</v>
      </c>
      <c r="M3" s="9"/>
    </row>
    <row r="4" ht="15.75" customHeight="1">
      <c r="A4" s="7"/>
      <c r="B4" s="35" t="s">
        <v>23</v>
      </c>
      <c r="M4" s="9"/>
    </row>
    <row r="5" ht="15.75" customHeight="1">
      <c r="A5" s="7"/>
      <c r="B5" s="35" t="s">
        <v>24</v>
      </c>
      <c r="M5" s="9"/>
    </row>
    <row r="6" ht="15.75" customHeight="1">
      <c r="A6" s="36"/>
      <c r="B6" s="12" t="s">
        <v>27</v>
      </c>
      <c r="G6" s="13"/>
      <c r="H6" s="12" t="s">
        <v>28</v>
      </c>
      <c r="M6" s="36"/>
    </row>
    <row r="7" ht="15.75" customHeight="1">
      <c r="A7" s="36"/>
      <c r="G7" s="13"/>
      <c r="M7" s="36"/>
    </row>
    <row r="8" ht="15.75" customHeight="1">
      <c r="A8" s="36"/>
      <c r="G8" s="13"/>
      <c r="M8" s="36"/>
    </row>
    <row r="9" ht="15.75" customHeight="1">
      <c r="A9" s="11"/>
      <c r="G9" s="13"/>
      <c r="M9" s="14"/>
    </row>
    <row r="10" ht="15.75" customHeight="1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40"/>
    </row>
    <row r="11" ht="15.75" customHeight="1">
      <c r="A11" s="41"/>
      <c r="B11" s="42" t="s">
        <v>4</v>
      </c>
      <c r="C11" s="38" t="str">
        <f>IFERROR(__xludf.DUMMYFUNCTION("SPARKLINE($E$35,{""charttype"",""bar"";""max"",max($E$35,$K$35);""color1"",""#337A6B""})"),"")</f>
        <v/>
      </c>
      <c r="G11" s="38"/>
      <c r="H11" s="38"/>
      <c r="I11" s="38"/>
      <c r="J11" s="38"/>
      <c r="K11" s="38"/>
      <c r="L11" s="38"/>
      <c r="M11" s="43"/>
    </row>
    <row r="12" ht="15.75" customHeight="1">
      <c r="A12" s="41"/>
      <c r="G12" s="38"/>
      <c r="H12" s="38"/>
      <c r="I12" s="44"/>
      <c r="L12" s="38"/>
      <c r="M12" s="43"/>
    </row>
    <row r="13" ht="15.75" customHeight="1">
      <c r="A13" s="41"/>
      <c r="B13" s="42" t="s">
        <v>5</v>
      </c>
      <c r="C13" s="38" t="str">
        <f>IFERROR(__xludf.DUMMYFUNCTION("SPARKLINE($K$35,{""charttype"",""bar"";""max"",max($E$35,$K$35);""color1"",""#B78055""})"),"")</f>
        <v/>
      </c>
      <c r="G13" s="38"/>
      <c r="H13" s="38"/>
      <c r="I13" s="38"/>
      <c r="J13" s="38"/>
      <c r="K13" s="38"/>
      <c r="L13" s="38"/>
      <c r="M13" s="43"/>
    </row>
    <row r="14" ht="15.75" customHeight="1">
      <c r="A14" s="41"/>
      <c r="G14" s="38"/>
      <c r="H14" s="38"/>
      <c r="I14" s="38"/>
      <c r="J14" s="38"/>
      <c r="K14" s="38"/>
      <c r="L14" s="38"/>
      <c r="M14" s="43"/>
    </row>
    <row r="15" ht="15.75" customHeight="1">
      <c r="A15" s="45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43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43"/>
    </row>
    <row r="17" ht="15.75" customHeight="1">
      <c r="A17" s="38"/>
      <c r="B17" s="46"/>
      <c r="C17" s="47"/>
      <c r="D17" s="49" t="str">
        <f>if(OR($E$35&lt;=0,$K$35&lt;=0),"❗️Oops! It looks like your income and/or expenses are less than or equal to $0. Ensure that your transactions are properly copied and loading below, then try again!",if($E$35&gt;$K$35,"🔥 Woohoo! Your income was greater than your expenses this month. What are you going to do with the savings?","💩 Oh no! It looks like you spent more than you earned this month. It's OK though, take a close look at your expenses and see how you might be able to save next time 😉"))</f>
        <v>🔥 Woohoo! Your income was greater than your expenses this month. What are you going to do with the savings?</v>
      </c>
      <c r="E17" s="50"/>
      <c r="F17" s="51"/>
      <c r="G17" s="38"/>
      <c r="H17" s="38"/>
      <c r="I17" s="38"/>
      <c r="J17" s="38"/>
      <c r="K17" s="38"/>
      <c r="L17" s="38"/>
      <c r="M17" s="43"/>
    </row>
    <row r="18" ht="15.75" customHeight="1">
      <c r="A18" s="38"/>
      <c r="B18" s="52" t="s">
        <v>41</v>
      </c>
      <c r="C18" s="53"/>
      <c r="F18" s="53"/>
      <c r="G18" s="38"/>
      <c r="H18" s="38"/>
      <c r="I18" s="38"/>
      <c r="J18" s="38"/>
      <c r="K18" s="38"/>
      <c r="L18" s="38"/>
      <c r="M18" s="54"/>
    </row>
    <row r="19" ht="15.75" customHeight="1">
      <c r="A19" s="38"/>
      <c r="B19" s="55"/>
      <c r="C19" s="53"/>
      <c r="F19" s="53"/>
      <c r="G19" s="38"/>
      <c r="H19" s="38"/>
      <c r="I19" s="38"/>
      <c r="J19" s="38"/>
      <c r="K19" s="38"/>
      <c r="L19" s="38"/>
      <c r="M19" s="54"/>
    </row>
    <row r="20" ht="15.75" customHeight="1">
      <c r="A20" s="38"/>
      <c r="B20" s="56">
        <f>$E$35-$K$35</f>
        <v>938.22</v>
      </c>
      <c r="C20" s="53"/>
      <c r="F20" s="53"/>
      <c r="G20" s="43"/>
      <c r="H20" s="38"/>
      <c r="I20" s="38"/>
      <c r="J20" s="38"/>
      <c r="K20" s="38"/>
      <c r="L20" s="38"/>
      <c r="M20" s="43"/>
    </row>
    <row r="21" ht="15.75" customHeight="1">
      <c r="A21" s="38"/>
      <c r="B21" s="55"/>
      <c r="C21" s="53"/>
      <c r="F21" s="53"/>
      <c r="G21" s="43"/>
      <c r="H21" s="38"/>
      <c r="I21" s="38"/>
      <c r="J21" s="38"/>
      <c r="K21" s="38"/>
      <c r="L21" s="38"/>
      <c r="M21" s="43"/>
    </row>
    <row r="22" ht="15.75" customHeight="1">
      <c r="A22" s="38"/>
      <c r="B22" s="55"/>
      <c r="C22" s="53"/>
      <c r="F22" s="53"/>
      <c r="G22" s="43"/>
      <c r="H22" s="38"/>
      <c r="I22" s="38"/>
      <c r="J22" s="38"/>
      <c r="K22" s="38"/>
      <c r="L22" s="38"/>
      <c r="M22" s="43"/>
    </row>
    <row r="23" ht="15.75" customHeight="1">
      <c r="A23" s="38"/>
      <c r="B23" s="57"/>
      <c r="C23" s="58"/>
      <c r="D23" s="59"/>
      <c r="E23" s="59"/>
      <c r="F23" s="60"/>
      <c r="G23" s="38"/>
      <c r="H23" s="43"/>
      <c r="I23" s="43"/>
      <c r="J23" s="43"/>
      <c r="K23" s="43"/>
      <c r="L23" s="43"/>
      <c r="M23" s="43"/>
    </row>
    <row r="24" ht="15.75" customHeight="1">
      <c r="A24" s="38"/>
      <c r="B24" s="38"/>
      <c r="C24" s="38"/>
      <c r="D24" s="38"/>
      <c r="E24" s="38"/>
      <c r="F24" s="38"/>
      <c r="G24" s="38"/>
      <c r="H24" s="43"/>
      <c r="I24" s="43"/>
      <c r="J24" s="43"/>
      <c r="K24" s="43"/>
      <c r="L24" s="43"/>
      <c r="M24" s="43"/>
    </row>
    <row r="25">
      <c r="A25" s="38"/>
      <c r="B25" s="38"/>
      <c r="C25" s="62"/>
      <c r="D25" s="62"/>
      <c r="E25" s="62"/>
      <c r="F25" s="62"/>
      <c r="G25" s="62"/>
      <c r="H25" s="62"/>
      <c r="I25" s="62"/>
      <c r="J25" s="62"/>
      <c r="K25" s="62"/>
      <c r="L25" s="38"/>
      <c r="M25" s="43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43"/>
    </row>
    <row r="27">
      <c r="A27" s="38"/>
      <c r="B27" s="12" t="s">
        <v>4</v>
      </c>
      <c r="G27" s="13"/>
      <c r="H27" s="12" t="s">
        <v>5</v>
      </c>
      <c r="M27" s="43"/>
    </row>
    <row r="28">
      <c r="A28" s="38"/>
      <c r="G28" s="13"/>
      <c r="M28" s="43"/>
    </row>
    <row r="29">
      <c r="A29" s="38"/>
      <c r="G29" s="13"/>
      <c r="M29" s="43"/>
    </row>
    <row r="30">
      <c r="A30" s="38"/>
      <c r="B30" s="63" t="s">
        <v>49</v>
      </c>
      <c r="C30" s="43" t="str">
        <f>IFERROR(__xludf.DUMMYFUNCTION("SPARKLINE($D$35,{""charttype"",""bar"";""max"",max($D$35:$E$35);""color1"",""#B78055""})"),"")</f>
        <v/>
      </c>
      <c r="F30" s="64" t="str">
        <f>if($E$35&gt;=$D$35,"🙌","🙁")</f>
        <v>🙌</v>
      </c>
      <c r="G30" s="43"/>
      <c r="H30" s="63" t="s">
        <v>49</v>
      </c>
      <c r="I30" s="43" t="str">
        <f>IFERROR(__xludf.DUMMYFUNCTION("SPARKLINE($J$35,{""charttype"",""bar"";""max"",max($J$35:$K$35);""color1"",""#B78055""})"),"")</f>
        <v/>
      </c>
      <c r="L30" s="64" t="str">
        <f>if($J$35&gt;=$K$35,"🙌","🙁")</f>
        <v>🙌</v>
      </c>
      <c r="M30" s="43"/>
    </row>
    <row r="31">
      <c r="A31" s="38"/>
      <c r="B31" s="63" t="s">
        <v>54</v>
      </c>
      <c r="C31" s="43" t="str">
        <f>IFERROR(__xludf.DUMMYFUNCTION("SPARKLINE($E$35,{""charttype"",""bar"";""max"",max($D$35:$E$35);""color1"",""#337A6B""})"),"")</f>
        <v/>
      </c>
      <c r="G31" s="43"/>
      <c r="H31" s="63" t="s">
        <v>54</v>
      </c>
      <c r="I31" s="43" t="str">
        <f>IFERROR(__xludf.DUMMYFUNCTION("SPARKLINE($K$35,{""charttype"",""bar"";""max"",max($J$35:$K$35);""color1"",""#337A6B""})"),"")</f>
        <v/>
      </c>
      <c r="M31" s="43"/>
    </row>
    <row r="32">
      <c r="A32" s="38"/>
      <c r="B32" s="38"/>
      <c r="C32" s="38"/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>
      <c r="A33" s="38"/>
      <c r="B33" s="38"/>
      <c r="C33" s="38"/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>
      <c r="A34" s="38"/>
      <c r="B34" s="65"/>
      <c r="C34" s="65"/>
      <c r="D34" s="66" t="s">
        <v>49</v>
      </c>
      <c r="E34" s="66" t="s">
        <v>54</v>
      </c>
      <c r="F34" s="66" t="s">
        <v>59</v>
      </c>
      <c r="G34" s="14"/>
      <c r="H34" s="65"/>
      <c r="I34" s="65"/>
      <c r="J34" s="66" t="s">
        <v>49</v>
      </c>
      <c r="K34" s="66" t="s">
        <v>54</v>
      </c>
      <c r="L34" s="66" t="s">
        <v>59</v>
      </c>
      <c r="M34" s="43"/>
    </row>
    <row r="35">
      <c r="A35" s="38"/>
      <c r="B35" s="67" t="s">
        <v>61</v>
      </c>
      <c r="C35" s="68"/>
      <c r="D35" s="69">
        <f t="shared" ref="D35:E35" si="1">sum(D37:D60)</f>
        <v>3000</v>
      </c>
      <c r="E35" s="69">
        <f t="shared" si="1"/>
        <v>3300</v>
      </c>
      <c r="F35" s="71">
        <f>E35-D35</f>
        <v>300</v>
      </c>
      <c r="G35" s="40"/>
      <c r="H35" s="67" t="s">
        <v>61</v>
      </c>
      <c r="I35" s="68"/>
      <c r="J35" s="69">
        <f t="shared" ref="J35:K35" si="2">sum(J37:J60)</f>
        <v>2940</v>
      </c>
      <c r="K35" s="69">
        <f t="shared" si="2"/>
        <v>2361.78</v>
      </c>
      <c r="L35" s="71">
        <f>K35-J35</f>
        <v>-578.22</v>
      </c>
      <c r="M35" s="43"/>
    </row>
    <row r="36">
      <c r="A36" s="38"/>
      <c r="B36" s="41"/>
      <c r="C36" s="41"/>
      <c r="D36" s="72"/>
      <c r="E36" s="43"/>
      <c r="F36" s="43"/>
      <c r="G36" s="43"/>
      <c r="H36" s="41"/>
      <c r="I36" s="41"/>
      <c r="J36" s="72"/>
      <c r="K36" s="43"/>
      <c r="L36" s="43"/>
      <c r="M36" s="43"/>
    </row>
    <row r="37">
      <c r="A37" s="38"/>
      <c r="B37" s="73" t="s">
        <v>11</v>
      </c>
      <c r="C37" s="74"/>
      <c r="D37" s="75">
        <v>3000.0</v>
      </c>
      <c r="E37" s="76">
        <f>SUMIF('Transactions Start Here 🚀'!F:F,B37,'Transactions Start Here 🚀'!C:C)</f>
        <v>3000</v>
      </c>
      <c r="F37" s="77">
        <f t="shared" ref="F37:F39" si="3">E37-D37</f>
        <v>0</v>
      </c>
      <c r="G37" s="43"/>
      <c r="H37" s="73" t="s">
        <v>56</v>
      </c>
      <c r="I37" s="74"/>
      <c r="J37" s="75">
        <v>1190.0</v>
      </c>
      <c r="K37" s="76">
        <f>SUMIF('Transactions Start Here 🚀'!L:L,H37,'Transactions Start Here 🚀'!I:I)</f>
        <v>1190</v>
      </c>
      <c r="L37" s="71">
        <f t="shared" ref="L37:L47" si="4">K37-J37</f>
        <v>0</v>
      </c>
      <c r="M37" s="43"/>
    </row>
    <row r="38">
      <c r="A38" s="38"/>
      <c r="B38" s="78" t="s">
        <v>16</v>
      </c>
      <c r="C38" s="79"/>
      <c r="D38" s="80">
        <v>0.0</v>
      </c>
      <c r="E38" s="76">
        <f>SUMIF('Transactions Start Here 🚀'!F:F,B38,'Transactions Start Here 🚀'!C:C)</f>
        <v>300</v>
      </c>
      <c r="F38" s="81">
        <f t="shared" si="3"/>
        <v>300</v>
      </c>
      <c r="G38" s="43"/>
      <c r="H38" s="82" t="s">
        <v>13</v>
      </c>
      <c r="I38" s="83"/>
      <c r="J38" s="84">
        <v>400.0</v>
      </c>
      <c r="K38" s="76">
        <f>SUMIF('Transactions Start Here 🚀'!L:L,H38,'Transactions Start Here 🚀'!I:I)</f>
        <v>293.52</v>
      </c>
      <c r="L38" s="71">
        <f t="shared" si="4"/>
        <v>-106.48</v>
      </c>
      <c r="M38" s="43"/>
    </row>
    <row r="39">
      <c r="A39" s="38"/>
      <c r="B39" s="85" t="s">
        <v>62</v>
      </c>
      <c r="C39" s="79"/>
      <c r="D39" s="80">
        <v>0.0</v>
      </c>
      <c r="E39" s="76">
        <f>SUMIF('Transactions Start Here 🚀'!F:F,B39,'Transactions Start Here 🚀'!C:C)</f>
        <v>0</v>
      </c>
      <c r="F39" s="81">
        <f t="shared" si="3"/>
        <v>0</v>
      </c>
      <c r="G39" s="43"/>
      <c r="H39" s="82" t="s">
        <v>36</v>
      </c>
      <c r="I39" s="83"/>
      <c r="J39" s="84">
        <v>150.0</v>
      </c>
      <c r="K39" s="76">
        <f>SUMIF('Transactions Start Here 🚀'!L:L,H39,'Transactions Start Here 🚀'!I:I)</f>
        <v>31.8</v>
      </c>
      <c r="L39" s="71">
        <f t="shared" si="4"/>
        <v>-118.2</v>
      </c>
      <c r="M39" s="43"/>
    </row>
    <row r="40">
      <c r="A40" s="38"/>
      <c r="B40" s="38"/>
      <c r="C40" s="38"/>
      <c r="D40" s="43"/>
      <c r="E40" s="43"/>
      <c r="F40" s="43"/>
      <c r="G40" s="45"/>
      <c r="H40" s="82" t="s">
        <v>26</v>
      </c>
      <c r="I40" s="83"/>
      <c r="J40" s="84">
        <v>70.0</v>
      </c>
      <c r="K40" s="76">
        <f>SUMIF('Transactions Start Here 🚀'!L:L,H40,'Transactions Start Here 🚀'!I:I)</f>
        <v>83.22</v>
      </c>
      <c r="L40" s="71">
        <f t="shared" si="4"/>
        <v>13.22</v>
      </c>
      <c r="M40" s="43"/>
    </row>
    <row r="41">
      <c r="A41" s="38"/>
      <c r="B41" s="86"/>
      <c r="C41" s="86"/>
      <c r="D41" s="43"/>
      <c r="E41" s="43"/>
      <c r="F41" s="43"/>
      <c r="G41" s="36"/>
      <c r="H41" s="82" t="s">
        <v>44</v>
      </c>
      <c r="I41" s="83"/>
      <c r="J41" s="84">
        <v>100.0</v>
      </c>
      <c r="K41" s="76">
        <f>SUMIF('Transactions Start Here 🚀'!L:L,H41,'Transactions Start Here 🚀'!I:I)</f>
        <v>82.12</v>
      </c>
      <c r="L41" s="71">
        <f t="shared" si="4"/>
        <v>-17.88</v>
      </c>
      <c r="M41" s="43"/>
    </row>
    <row r="42">
      <c r="A42" s="38"/>
      <c r="B42" s="86"/>
      <c r="C42" s="86"/>
      <c r="D42" s="86"/>
      <c r="E42" s="86"/>
      <c r="F42" s="86"/>
      <c r="G42" s="14"/>
      <c r="H42" s="82" t="s">
        <v>63</v>
      </c>
      <c r="I42" s="83"/>
      <c r="J42" s="84">
        <v>0.0</v>
      </c>
      <c r="K42" s="76">
        <f>SUMIF('Transactions Start Here 🚀'!L:L,H42,'Transactions Start Here 🚀'!I:I)</f>
        <v>0</v>
      </c>
      <c r="L42" s="71">
        <f t="shared" si="4"/>
        <v>0</v>
      </c>
      <c r="M42" s="43"/>
    </row>
    <row r="43">
      <c r="A43" s="38"/>
      <c r="B43" s="86"/>
      <c r="C43" s="86"/>
      <c r="D43" s="86"/>
      <c r="E43" s="86"/>
      <c r="F43" s="86"/>
      <c r="G43" s="14"/>
      <c r="H43" s="82" t="s">
        <v>40</v>
      </c>
      <c r="I43" s="83"/>
      <c r="J43" s="84">
        <v>150.0</v>
      </c>
      <c r="K43" s="76">
        <f>SUMIF('Transactions Start Here 🚀'!L:L,H43,'Transactions Start Here 🚀'!I:I)</f>
        <v>50.94</v>
      </c>
      <c r="L43" s="71">
        <f t="shared" si="4"/>
        <v>-99.06</v>
      </c>
      <c r="M43" s="43"/>
    </row>
    <row r="44">
      <c r="A44" s="38"/>
      <c r="B44" s="86"/>
      <c r="C44" s="86"/>
      <c r="D44" s="86"/>
      <c r="E44" s="86"/>
      <c r="F44" s="86"/>
      <c r="G44" s="14"/>
      <c r="H44" s="82" t="s">
        <v>58</v>
      </c>
      <c r="I44" s="83"/>
      <c r="J44" s="84">
        <v>90.0</v>
      </c>
      <c r="K44" s="76">
        <f>SUMIF('Transactions Start Here 🚀'!L:L,H44,'Transactions Start Here 🚀'!I:I)</f>
        <v>90</v>
      </c>
      <c r="L44" s="71">
        <f t="shared" si="4"/>
        <v>0</v>
      </c>
      <c r="M44" s="43"/>
    </row>
    <row r="45">
      <c r="A45" s="38"/>
      <c r="B45" s="86"/>
      <c r="C45" s="86"/>
      <c r="D45" s="86"/>
      <c r="E45" s="86"/>
      <c r="F45" s="86"/>
      <c r="G45" s="14"/>
      <c r="H45" s="82" t="s">
        <v>34</v>
      </c>
      <c r="I45" s="83"/>
      <c r="J45" s="84">
        <v>50.0</v>
      </c>
      <c r="K45" s="76">
        <f>SUMIF('Transactions Start Here 🚀'!L:L,H45,'Transactions Start Here 🚀'!I:I)</f>
        <v>37</v>
      </c>
      <c r="L45" s="71">
        <f t="shared" si="4"/>
        <v>-13</v>
      </c>
      <c r="M45" s="43"/>
    </row>
    <row r="46">
      <c r="A46" s="38"/>
      <c r="B46" s="86"/>
      <c r="C46" s="86"/>
      <c r="D46" s="86"/>
      <c r="E46" s="86"/>
      <c r="F46" s="86"/>
      <c r="G46" s="14"/>
      <c r="H46" s="82" t="s">
        <v>30</v>
      </c>
      <c r="I46" s="83"/>
      <c r="J46" s="84">
        <v>70.0</v>
      </c>
      <c r="K46" s="76">
        <f>SUMIF('Transactions Start Here 🚀'!L:L,H46,'Transactions Start Here 🚀'!I:I)</f>
        <v>110.35</v>
      </c>
      <c r="L46" s="71">
        <f t="shared" si="4"/>
        <v>40.35</v>
      </c>
      <c r="M46" s="43"/>
    </row>
    <row r="47">
      <c r="A47" s="38"/>
      <c r="B47" s="86"/>
      <c r="C47" s="86"/>
      <c r="D47" s="86"/>
      <c r="E47" s="86"/>
      <c r="F47" s="86"/>
      <c r="G47" s="14"/>
      <c r="H47" s="82" t="s">
        <v>53</v>
      </c>
      <c r="I47" s="83"/>
      <c r="J47" s="84">
        <v>40.0</v>
      </c>
      <c r="K47" s="76">
        <f>SUMIF('Transactions Start Here 🚀'!L:L,H47,'Transactions Start Here 🚀'!I:I)</f>
        <v>44.95</v>
      </c>
      <c r="L47" s="71">
        <f t="shared" si="4"/>
        <v>4.95</v>
      </c>
      <c r="M47" s="43"/>
    </row>
    <row r="48">
      <c r="A48" s="38"/>
      <c r="B48" s="86"/>
      <c r="C48" s="86"/>
      <c r="D48" s="86"/>
      <c r="E48" s="86"/>
      <c r="F48" s="86"/>
      <c r="G48" s="14"/>
      <c r="H48" s="82" t="s">
        <v>64</v>
      </c>
      <c r="I48" s="83"/>
      <c r="J48" s="84">
        <v>50.0</v>
      </c>
      <c r="K48" s="76"/>
      <c r="L48" s="71"/>
      <c r="M48" s="43"/>
    </row>
    <row r="49">
      <c r="A49" s="38"/>
      <c r="B49" s="86"/>
      <c r="C49" s="86"/>
      <c r="D49" s="86"/>
      <c r="E49" s="86"/>
      <c r="F49" s="86"/>
      <c r="G49" s="14"/>
      <c r="H49" s="82" t="s">
        <v>18</v>
      </c>
      <c r="I49" s="83"/>
      <c r="J49" s="84">
        <v>50.0</v>
      </c>
      <c r="K49" s="76">
        <f>SUMIF('Transactions Start Here 🚀'!L:L,H49,'Transactions Start Here 🚀'!I:I)</f>
        <v>88.05</v>
      </c>
      <c r="L49" s="71">
        <f t="shared" ref="L49:L59" si="5">K49-J49</f>
        <v>38.05</v>
      </c>
      <c r="M49" s="43"/>
    </row>
    <row r="50">
      <c r="A50" s="38"/>
      <c r="B50" s="86"/>
      <c r="C50" s="86"/>
      <c r="D50" s="86"/>
      <c r="E50" s="86"/>
      <c r="F50" s="86"/>
      <c r="G50" s="14"/>
      <c r="H50" s="91" t="s">
        <v>22</v>
      </c>
      <c r="I50" s="92"/>
      <c r="J50" s="93">
        <v>100.0</v>
      </c>
      <c r="K50" s="76">
        <f>SUMIF('Transactions Start Here 🚀'!L:L,H50,'Transactions Start Here 🚀'!I:I)</f>
        <v>179.24</v>
      </c>
      <c r="L50" s="71">
        <f t="shared" si="5"/>
        <v>79.24</v>
      </c>
      <c r="M50" s="43"/>
    </row>
    <row r="51">
      <c r="A51" s="38"/>
      <c r="B51" s="86"/>
      <c r="C51" s="86"/>
      <c r="D51" s="86"/>
      <c r="E51" s="86"/>
      <c r="F51" s="86"/>
      <c r="G51" s="14"/>
      <c r="H51" s="91" t="s">
        <v>65</v>
      </c>
      <c r="I51" s="92"/>
      <c r="J51" s="93">
        <v>150.0</v>
      </c>
      <c r="K51" s="76">
        <f>SUMIF('Transactions Start Here 🚀'!L:L,H51,'Transactions Start Here 🚀'!I:I)</f>
        <v>0</v>
      </c>
      <c r="L51" s="71">
        <f t="shared" si="5"/>
        <v>-150</v>
      </c>
      <c r="M51" s="43"/>
    </row>
    <row r="52">
      <c r="A52" s="38"/>
      <c r="B52" s="86"/>
      <c r="C52" s="86"/>
      <c r="D52" s="86"/>
      <c r="E52" s="86"/>
      <c r="F52" s="86"/>
      <c r="G52" s="14"/>
      <c r="H52" s="91" t="s">
        <v>66</v>
      </c>
      <c r="I52" s="92"/>
      <c r="J52" s="93">
        <v>120.0</v>
      </c>
      <c r="K52" s="76">
        <f>SUMIF('Transactions Start Here 🚀'!L:L,H52,'Transactions Start Here 🚀'!I:I)</f>
        <v>0</v>
      </c>
      <c r="L52" s="71">
        <f t="shared" si="5"/>
        <v>-120</v>
      </c>
      <c r="M52" s="43"/>
    </row>
    <row r="53">
      <c r="A53" s="38"/>
      <c r="B53" s="86"/>
      <c r="C53" s="86"/>
      <c r="D53" s="86"/>
      <c r="E53" s="86"/>
      <c r="F53" s="86"/>
      <c r="G53" s="14"/>
      <c r="H53" s="91" t="s">
        <v>32</v>
      </c>
      <c r="I53" s="92"/>
      <c r="J53" s="93">
        <v>60.0</v>
      </c>
      <c r="K53" s="76">
        <f>SUMIF('Transactions Start Here 🚀'!L:L,H53,'Transactions Start Here 🚀'!I:I)</f>
        <v>39.12</v>
      </c>
      <c r="L53" s="71">
        <f t="shared" si="5"/>
        <v>-20.88</v>
      </c>
      <c r="M53" s="43"/>
    </row>
    <row r="54">
      <c r="A54" s="38"/>
      <c r="B54" s="86"/>
      <c r="C54" s="86"/>
      <c r="D54" s="86"/>
      <c r="E54" s="86"/>
      <c r="F54" s="86"/>
      <c r="G54" s="14"/>
      <c r="H54" s="91" t="s">
        <v>50</v>
      </c>
      <c r="I54" s="92"/>
      <c r="J54" s="93">
        <v>50.0</v>
      </c>
      <c r="K54" s="76">
        <f>SUMIF('Transactions Start Here 🚀'!L:L,H54,'Transactions Start Here 🚀'!I:I)</f>
        <v>33.94</v>
      </c>
      <c r="L54" s="71">
        <f t="shared" si="5"/>
        <v>-16.06</v>
      </c>
      <c r="M54" s="43"/>
    </row>
    <row r="55">
      <c r="A55" s="38"/>
      <c r="B55" s="86"/>
      <c r="C55" s="86"/>
      <c r="D55" s="86"/>
      <c r="E55" s="86"/>
      <c r="F55" s="86"/>
      <c r="G55" s="14"/>
      <c r="H55" s="94" t="s">
        <v>67</v>
      </c>
      <c r="I55" s="95"/>
      <c r="J55" s="96">
        <v>0.0</v>
      </c>
      <c r="K55" s="76">
        <f>SUMIF('Transactions Start Here 🚀'!L:L,H55,'Transactions Start Here 🚀'!I:I)</f>
        <v>0</v>
      </c>
      <c r="L55" s="71">
        <f t="shared" si="5"/>
        <v>0</v>
      </c>
      <c r="M55" s="43"/>
    </row>
    <row r="56">
      <c r="A56" s="38"/>
      <c r="B56" s="86"/>
      <c r="C56" s="86"/>
      <c r="D56" s="86"/>
      <c r="E56" s="86"/>
      <c r="F56" s="86"/>
      <c r="G56" s="14"/>
      <c r="H56" s="94" t="s">
        <v>47</v>
      </c>
      <c r="I56" s="95"/>
      <c r="J56" s="96">
        <v>50.0</v>
      </c>
      <c r="K56" s="76">
        <f>SUMIF('Transactions Start Here 🚀'!L:L,H56,'Transactions Start Here 🚀'!I:I)</f>
        <v>7.53</v>
      </c>
      <c r="L56" s="71">
        <f t="shared" si="5"/>
        <v>-42.47</v>
      </c>
      <c r="M56" s="43"/>
    </row>
    <row r="57">
      <c r="A57" s="38"/>
      <c r="B57" s="86"/>
      <c r="C57" s="86"/>
      <c r="D57" s="86"/>
      <c r="E57" s="86"/>
      <c r="F57" s="86"/>
      <c r="G57" s="14"/>
      <c r="H57" s="85" t="s">
        <v>62</v>
      </c>
      <c r="I57" s="95"/>
      <c r="J57" s="96">
        <v>0.0</v>
      </c>
      <c r="K57" s="76">
        <f>SUMIF('Transactions Start Here 🚀'!L:L,H57,'Transactions Start Here 🚀'!I:I)</f>
        <v>0</v>
      </c>
      <c r="L57" s="71">
        <f t="shared" si="5"/>
        <v>0</v>
      </c>
      <c r="M57" s="43"/>
    </row>
    <row r="58">
      <c r="A58" s="38"/>
      <c r="B58" s="86"/>
      <c r="C58" s="86"/>
      <c r="D58" s="86"/>
      <c r="E58" s="86"/>
      <c r="F58" s="86"/>
      <c r="G58" s="14"/>
      <c r="H58" s="85" t="s">
        <v>68</v>
      </c>
      <c r="I58" s="95"/>
      <c r="J58" s="96">
        <v>0.0</v>
      </c>
      <c r="K58" s="76">
        <f>SUMIF('Transactions Start Here 🚀'!L:L,H58,'Transactions Start Here 🚀'!I:I)</f>
        <v>0</v>
      </c>
      <c r="L58" s="71">
        <f t="shared" si="5"/>
        <v>0</v>
      </c>
      <c r="M58" s="43"/>
    </row>
    <row r="59">
      <c r="A59" s="38"/>
      <c r="B59" s="86"/>
      <c r="C59" s="86"/>
      <c r="D59" s="86"/>
      <c r="E59" s="86"/>
      <c r="F59" s="86"/>
      <c r="G59" s="14"/>
      <c r="H59" s="85" t="s">
        <v>69</v>
      </c>
      <c r="I59" s="95"/>
      <c r="J59" s="96">
        <v>0.0</v>
      </c>
      <c r="K59" s="76">
        <f>SUMIF('Transactions Start Here 🚀'!L:L,H59,'Transactions Start Here 🚀'!I:I)</f>
        <v>0</v>
      </c>
      <c r="L59" s="71">
        <f t="shared" si="5"/>
        <v>0</v>
      </c>
      <c r="M59" s="43"/>
    </row>
    <row r="60">
      <c r="A60" s="38"/>
      <c r="B60" s="86"/>
      <c r="C60" s="86"/>
      <c r="D60" s="43"/>
      <c r="E60" s="43"/>
      <c r="F60" s="43"/>
      <c r="G60" s="40"/>
      <c r="H60" s="97"/>
      <c r="I60" s="97"/>
      <c r="J60" s="54"/>
      <c r="K60" s="54"/>
      <c r="L60" s="54"/>
      <c r="M60" s="43"/>
    </row>
  </sheetData>
  <mergeCells count="22">
    <mergeCell ref="C11:F12"/>
    <mergeCell ref="I12:K12"/>
    <mergeCell ref="B2:L2"/>
    <mergeCell ref="B3:L3"/>
    <mergeCell ref="B4:L4"/>
    <mergeCell ref="B5:L5"/>
    <mergeCell ref="B6:F9"/>
    <mergeCell ref="H6:L9"/>
    <mergeCell ref="B11:B12"/>
    <mergeCell ref="C30:E30"/>
    <mergeCell ref="F30:F31"/>
    <mergeCell ref="I30:K30"/>
    <mergeCell ref="L30:L31"/>
    <mergeCell ref="C31:E31"/>
    <mergeCell ref="I31:K31"/>
    <mergeCell ref="B13:B14"/>
    <mergeCell ref="C13:F14"/>
    <mergeCell ref="D17:F23"/>
    <mergeCell ref="B18:C19"/>
    <mergeCell ref="B20:C22"/>
    <mergeCell ref="B27:F29"/>
    <mergeCell ref="H27:L29"/>
  </mergeCells>
  <conditionalFormatting sqref="F35 F37:F39">
    <cfRule type="cellIs" dxfId="0" priority="1" operator="greaterThan">
      <formula>0</formula>
    </cfRule>
  </conditionalFormatting>
  <conditionalFormatting sqref="F35 F37:F39">
    <cfRule type="cellIs" dxfId="1" priority="2" operator="lessThan">
      <formula>0</formula>
    </cfRule>
  </conditionalFormatting>
  <conditionalFormatting sqref="L35 L37:L59">
    <cfRule type="cellIs" dxfId="0" priority="3" operator="lessThan">
      <formula>0</formula>
    </cfRule>
  </conditionalFormatting>
  <conditionalFormatting sqref="L35 L37:L59">
    <cfRule type="cellIs" dxfId="1" priority="4" operator="greater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5.67"/>
    <col customWidth="1" min="2" max="4" width="8.44"/>
    <col customWidth="1" min="5" max="5" width="5.67"/>
    <col customWidth="1" min="6" max="6" width="11.22"/>
    <col customWidth="1" min="7" max="10" width="8.44"/>
    <col customWidth="1" min="11" max="11" width="5.67"/>
    <col customWidth="1" min="12" max="12" width="11.22"/>
    <col customWidth="1" min="13" max="13" width="5.67"/>
  </cols>
  <sheetData>
    <row r="1" ht="115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30.0" customHeight="1">
      <c r="A2" s="4"/>
      <c r="B2" s="5"/>
      <c r="M2" s="6"/>
    </row>
    <row r="3" ht="15.75" customHeight="1">
      <c r="A3" s="7"/>
      <c r="B3" s="8" t="s">
        <v>1</v>
      </c>
      <c r="M3" s="9"/>
    </row>
    <row r="4" ht="15.75" customHeight="1">
      <c r="A4" s="7"/>
      <c r="B4" s="10" t="s">
        <v>2</v>
      </c>
      <c r="M4" s="9"/>
    </row>
    <row r="5" ht="15.75" customHeight="1">
      <c r="A5" s="7"/>
      <c r="B5" s="10" t="s">
        <v>3</v>
      </c>
      <c r="M5" s="9"/>
    </row>
    <row r="6" ht="15.75" customHeight="1">
      <c r="A6" s="11"/>
      <c r="B6" s="12" t="s">
        <v>4</v>
      </c>
      <c r="G6" s="13"/>
      <c r="H6" s="12" t="s">
        <v>5</v>
      </c>
      <c r="M6" s="14"/>
    </row>
    <row r="7" ht="15.75" customHeight="1">
      <c r="A7" s="11"/>
      <c r="G7" s="13"/>
      <c r="M7" s="14"/>
    </row>
    <row r="8" ht="15.75" customHeight="1">
      <c r="A8" s="11"/>
      <c r="G8" s="13"/>
      <c r="M8" s="14"/>
    </row>
    <row r="9" ht="15.75" customHeight="1">
      <c r="A9" s="11"/>
      <c r="G9" s="13"/>
      <c r="M9" s="14"/>
    </row>
    <row r="10" ht="15.75" customHeight="1">
      <c r="A10" s="15"/>
      <c r="B10" s="16" t="s">
        <v>6</v>
      </c>
      <c r="C10" s="17" t="s">
        <v>7</v>
      </c>
      <c r="D10" s="18" t="s">
        <v>8</v>
      </c>
      <c r="E10" s="19"/>
      <c r="F10" s="16" t="s">
        <v>9</v>
      </c>
      <c r="G10" s="20"/>
      <c r="H10" s="16" t="s">
        <v>6</v>
      </c>
      <c r="I10" s="21" t="s">
        <v>7</v>
      </c>
      <c r="J10" s="18" t="s">
        <v>8</v>
      </c>
      <c r="K10" s="22"/>
      <c r="L10" s="16" t="s">
        <v>9</v>
      </c>
      <c r="M10" s="23"/>
    </row>
    <row r="11" ht="15.75" customHeight="1">
      <c r="A11" s="24"/>
      <c r="B11" s="25">
        <v>43952.0</v>
      </c>
      <c r="C11" s="26">
        <v>1500.0</v>
      </c>
      <c r="D11" s="27" t="s">
        <v>10</v>
      </c>
      <c r="E11" s="28"/>
      <c r="F11" s="27" t="s">
        <v>11</v>
      </c>
      <c r="G11" s="24"/>
      <c r="H11" s="25">
        <v>43952.0</v>
      </c>
      <c r="I11" s="29">
        <v>45.23</v>
      </c>
      <c r="J11" s="30" t="s">
        <v>12</v>
      </c>
      <c r="K11" s="28"/>
      <c r="L11" s="27" t="s">
        <v>13</v>
      </c>
      <c r="M11" s="31"/>
    </row>
    <row r="12" ht="15.75" customHeight="1">
      <c r="A12" s="24"/>
      <c r="B12" s="25">
        <v>43966.0</v>
      </c>
      <c r="C12" s="26">
        <v>1500.0</v>
      </c>
      <c r="D12" s="27" t="s">
        <v>10</v>
      </c>
      <c r="E12" s="28"/>
      <c r="F12" s="27" t="s">
        <v>11</v>
      </c>
      <c r="G12" s="24"/>
      <c r="H12" s="25">
        <v>43953.0</v>
      </c>
      <c r="I12" s="29">
        <v>11.49</v>
      </c>
      <c r="J12" s="30" t="s">
        <v>14</v>
      </c>
      <c r="K12" s="28"/>
      <c r="L12" s="27" t="s">
        <v>13</v>
      </c>
      <c r="M12" s="31"/>
    </row>
    <row r="13" ht="15.75" customHeight="1">
      <c r="A13" s="24"/>
      <c r="B13" s="25">
        <v>43966.0</v>
      </c>
      <c r="C13" s="26">
        <v>300.0</v>
      </c>
      <c r="D13" s="27" t="s">
        <v>15</v>
      </c>
      <c r="E13" s="28"/>
      <c r="F13" s="27" t="s">
        <v>16</v>
      </c>
      <c r="G13" s="24"/>
      <c r="H13" s="25">
        <v>43955.0</v>
      </c>
      <c r="I13" s="29">
        <v>75.0</v>
      </c>
      <c r="J13" s="27" t="s">
        <v>17</v>
      </c>
      <c r="K13" s="28"/>
      <c r="L13" s="27" t="s">
        <v>18</v>
      </c>
      <c r="M13" s="31"/>
    </row>
    <row r="14" ht="15.75" customHeight="1">
      <c r="A14" s="24"/>
      <c r="B14" s="32"/>
      <c r="C14" s="33"/>
      <c r="D14" s="28"/>
      <c r="E14" s="28"/>
      <c r="F14" s="28"/>
      <c r="G14" s="24"/>
      <c r="H14" s="25">
        <v>43956.0</v>
      </c>
      <c r="I14" s="29">
        <v>53.12</v>
      </c>
      <c r="J14" s="30" t="s">
        <v>19</v>
      </c>
      <c r="K14" s="28"/>
      <c r="L14" s="27" t="s">
        <v>13</v>
      </c>
      <c r="M14" s="31"/>
    </row>
    <row r="15" ht="15.75" customHeight="1">
      <c r="A15" s="24"/>
      <c r="B15" s="32"/>
      <c r="C15" s="33"/>
      <c r="D15" s="28"/>
      <c r="E15" s="28"/>
      <c r="F15" s="28"/>
      <c r="G15" s="24"/>
      <c r="H15" s="25">
        <v>43957.0</v>
      </c>
      <c r="I15" s="29">
        <v>179.24</v>
      </c>
      <c r="J15" s="27" t="s">
        <v>20</v>
      </c>
      <c r="K15" s="34"/>
      <c r="L15" s="27" t="s">
        <v>22</v>
      </c>
      <c r="M15" s="31"/>
    </row>
    <row r="16">
      <c r="A16" s="24"/>
      <c r="B16" s="32"/>
      <c r="C16" s="33"/>
      <c r="D16" s="28"/>
      <c r="E16" s="28"/>
      <c r="F16" s="28"/>
      <c r="G16" s="24"/>
      <c r="H16" s="25">
        <v>43958.0</v>
      </c>
      <c r="I16" s="29">
        <v>39.2</v>
      </c>
      <c r="J16" s="27" t="s">
        <v>25</v>
      </c>
      <c r="K16" s="34"/>
      <c r="L16" s="27" t="s">
        <v>26</v>
      </c>
      <c r="M16" s="31"/>
    </row>
    <row r="17" ht="15.75" customHeight="1">
      <c r="A17" s="24"/>
      <c r="B17" s="32"/>
      <c r="C17" s="33"/>
      <c r="D17" s="28"/>
      <c r="E17" s="28"/>
      <c r="F17" s="28"/>
      <c r="G17" s="24"/>
      <c r="H17" s="25">
        <v>43958.0</v>
      </c>
      <c r="I17" s="29">
        <v>110.35</v>
      </c>
      <c r="J17" s="27" t="s">
        <v>29</v>
      </c>
      <c r="K17" s="34"/>
      <c r="L17" s="27" t="s">
        <v>30</v>
      </c>
      <c r="M17" s="31"/>
    </row>
    <row r="18" ht="15.75" customHeight="1">
      <c r="A18" s="24"/>
      <c r="B18" s="39"/>
      <c r="C18" s="33"/>
      <c r="D18" s="28"/>
      <c r="E18" s="28"/>
      <c r="F18" s="28"/>
      <c r="G18" s="24"/>
      <c r="H18" s="25">
        <v>43960.0</v>
      </c>
      <c r="I18" s="29">
        <v>39.12</v>
      </c>
      <c r="J18" s="27" t="s">
        <v>31</v>
      </c>
      <c r="K18" s="34"/>
      <c r="L18" s="27" t="s">
        <v>32</v>
      </c>
      <c r="M18" s="31"/>
    </row>
    <row r="19" ht="15.75" customHeight="1">
      <c r="A19" s="24"/>
      <c r="B19" s="39"/>
      <c r="C19" s="33"/>
      <c r="D19" s="28"/>
      <c r="E19" s="28"/>
      <c r="F19" s="28"/>
      <c r="G19" s="24"/>
      <c r="H19" s="25">
        <v>43961.0</v>
      </c>
      <c r="I19" s="29">
        <v>37.0</v>
      </c>
      <c r="J19" s="27" t="s">
        <v>33</v>
      </c>
      <c r="K19" s="34"/>
      <c r="L19" s="27" t="s">
        <v>34</v>
      </c>
      <c r="M19" s="31"/>
    </row>
    <row r="20" ht="15.75" customHeight="1">
      <c r="A20" s="24"/>
      <c r="B20" s="39"/>
      <c r="C20" s="33"/>
      <c r="D20" s="28"/>
      <c r="E20" s="28"/>
      <c r="F20" s="28"/>
      <c r="G20" s="31"/>
      <c r="H20" s="25">
        <v>43963.0</v>
      </c>
      <c r="I20" s="29">
        <v>22.0</v>
      </c>
      <c r="J20" s="27" t="s">
        <v>35</v>
      </c>
      <c r="K20" s="34"/>
      <c r="L20" s="27" t="s">
        <v>36</v>
      </c>
      <c r="M20" s="31"/>
    </row>
    <row r="21" ht="15.75" customHeight="1">
      <c r="A21" s="24"/>
      <c r="B21" s="39"/>
      <c r="C21" s="33"/>
      <c r="D21" s="28"/>
      <c r="E21" s="28"/>
      <c r="F21" s="28"/>
      <c r="G21" s="31"/>
      <c r="H21" s="25">
        <v>43964.0</v>
      </c>
      <c r="I21" s="29">
        <v>34.32</v>
      </c>
      <c r="J21" s="30" t="s">
        <v>37</v>
      </c>
      <c r="K21" s="28"/>
      <c r="L21" s="27" t="s">
        <v>13</v>
      </c>
      <c r="M21" s="31"/>
    </row>
    <row r="22" ht="15.75" customHeight="1">
      <c r="A22" s="24"/>
      <c r="B22" s="39"/>
      <c r="C22" s="33"/>
      <c r="D22" s="28"/>
      <c r="E22" s="28"/>
      <c r="F22" s="28"/>
      <c r="G22" s="31"/>
      <c r="H22" s="25">
        <v>43965.0</v>
      </c>
      <c r="I22" s="29">
        <v>4.9</v>
      </c>
      <c r="J22" s="27" t="s">
        <v>38</v>
      </c>
      <c r="K22" s="34"/>
      <c r="L22" s="27" t="s">
        <v>36</v>
      </c>
      <c r="M22" s="31"/>
    </row>
    <row r="23" ht="15.75" customHeight="1">
      <c r="A23" s="24"/>
      <c r="B23" s="39"/>
      <c r="C23" s="33"/>
      <c r="D23" s="28"/>
      <c r="E23" s="28"/>
      <c r="F23" s="28"/>
      <c r="G23" s="24"/>
      <c r="H23" s="25">
        <v>43965.0</v>
      </c>
      <c r="I23" s="29">
        <v>50.94</v>
      </c>
      <c r="J23" s="48" t="s">
        <v>39</v>
      </c>
      <c r="K23" s="28"/>
      <c r="L23" s="27" t="s">
        <v>40</v>
      </c>
      <c r="M23" s="31"/>
    </row>
    <row r="24" ht="15.75" customHeight="1">
      <c r="A24" s="24"/>
      <c r="B24" s="32"/>
      <c r="C24" s="33"/>
      <c r="D24" s="28"/>
      <c r="E24" s="28"/>
      <c r="F24" s="28"/>
      <c r="G24" s="24"/>
      <c r="H24" s="25">
        <v>43968.0</v>
      </c>
      <c r="I24" s="29">
        <v>44.24</v>
      </c>
      <c r="J24" s="27" t="s">
        <v>14</v>
      </c>
      <c r="K24" s="28"/>
      <c r="L24" s="27" t="s">
        <v>13</v>
      </c>
      <c r="M24" s="31"/>
    </row>
    <row r="25">
      <c r="A25" s="24"/>
      <c r="B25" s="32"/>
      <c r="C25" s="33"/>
      <c r="D25" s="28"/>
      <c r="E25" s="28"/>
      <c r="F25" s="28"/>
      <c r="G25" s="24"/>
      <c r="H25" s="25">
        <v>43970.0</v>
      </c>
      <c r="I25" s="29">
        <v>13.05</v>
      </c>
      <c r="J25" s="27" t="s">
        <v>42</v>
      </c>
      <c r="K25" s="28"/>
      <c r="L25" s="27" t="s">
        <v>18</v>
      </c>
      <c r="M25" s="31"/>
    </row>
    <row r="26">
      <c r="A26" s="24"/>
      <c r="B26" s="32"/>
      <c r="C26" s="33"/>
      <c r="D26" s="28"/>
      <c r="E26" s="28"/>
      <c r="F26" s="28"/>
      <c r="G26" s="24"/>
      <c r="H26" s="25">
        <v>43970.0</v>
      </c>
      <c r="I26" s="29">
        <v>75.12</v>
      </c>
      <c r="J26" s="30" t="s">
        <v>19</v>
      </c>
      <c r="K26" s="28"/>
      <c r="L26" s="27" t="s">
        <v>13</v>
      </c>
      <c r="M26" s="31"/>
    </row>
    <row r="27">
      <c r="A27" s="24"/>
      <c r="B27" s="32"/>
      <c r="C27" s="33"/>
      <c r="D27" s="28"/>
      <c r="E27" s="28"/>
      <c r="F27" s="28"/>
      <c r="G27" s="31"/>
      <c r="H27" s="25">
        <v>43972.0</v>
      </c>
      <c r="I27" s="29">
        <v>82.12</v>
      </c>
      <c r="J27" s="27" t="s">
        <v>43</v>
      </c>
      <c r="K27" s="28"/>
      <c r="L27" s="27" t="s">
        <v>44</v>
      </c>
      <c r="M27" s="31"/>
    </row>
    <row r="28">
      <c r="A28" s="24"/>
      <c r="B28" s="32"/>
      <c r="C28" s="33"/>
      <c r="D28" s="28"/>
      <c r="E28" s="28"/>
      <c r="F28" s="28"/>
      <c r="G28" s="31"/>
      <c r="H28" s="25">
        <v>43974.0</v>
      </c>
      <c r="I28" s="29">
        <v>30.0</v>
      </c>
      <c r="J28" s="30" t="s">
        <v>45</v>
      </c>
      <c r="K28" s="28"/>
      <c r="L28" s="27" t="s">
        <v>13</v>
      </c>
      <c r="M28" s="31"/>
    </row>
    <row r="29">
      <c r="A29" s="24"/>
      <c r="B29" s="61"/>
      <c r="C29" s="33"/>
      <c r="D29" s="33"/>
      <c r="E29" s="33"/>
      <c r="F29" s="28"/>
      <c r="G29" s="31"/>
      <c r="H29" s="25">
        <v>43975.0</v>
      </c>
      <c r="I29" s="29">
        <v>7.53</v>
      </c>
      <c r="J29" s="27" t="s">
        <v>46</v>
      </c>
      <c r="K29" s="33"/>
      <c r="L29" s="27" t="s">
        <v>47</v>
      </c>
      <c r="M29" s="31"/>
    </row>
    <row r="30">
      <c r="A30" s="24"/>
      <c r="B30" s="61"/>
      <c r="C30" s="33"/>
      <c r="D30" s="33"/>
      <c r="E30" s="33"/>
      <c r="F30" s="28"/>
      <c r="G30" s="31"/>
      <c r="H30" s="25">
        <v>43975.0</v>
      </c>
      <c r="I30" s="29">
        <v>12.0</v>
      </c>
      <c r="J30" s="27" t="s">
        <v>48</v>
      </c>
      <c r="K30" s="33"/>
      <c r="L30" s="27" t="s">
        <v>50</v>
      </c>
      <c r="M30" s="31"/>
    </row>
    <row r="31">
      <c r="A31" s="24"/>
      <c r="B31" s="32"/>
      <c r="C31" s="33"/>
      <c r="D31" s="33"/>
      <c r="E31" s="33"/>
      <c r="F31" s="28"/>
      <c r="G31" s="31"/>
      <c r="H31" s="25">
        <v>43976.0</v>
      </c>
      <c r="I31" s="29">
        <v>21.94</v>
      </c>
      <c r="J31" s="27" t="s">
        <v>51</v>
      </c>
      <c r="K31" s="28"/>
      <c r="L31" s="27" t="s">
        <v>50</v>
      </c>
      <c r="M31" s="31"/>
    </row>
    <row r="32">
      <c r="A32" s="24"/>
      <c r="B32" s="32"/>
      <c r="C32" s="33"/>
      <c r="D32" s="33"/>
      <c r="E32" s="33"/>
      <c r="F32" s="28"/>
      <c r="G32" s="31"/>
      <c r="H32" s="25">
        <v>43977.0</v>
      </c>
      <c r="I32" s="29">
        <v>44.95</v>
      </c>
      <c r="J32" s="27" t="s">
        <v>52</v>
      </c>
      <c r="K32" s="28"/>
      <c r="L32" s="27" t="s">
        <v>53</v>
      </c>
      <c r="M32" s="31"/>
    </row>
    <row r="33">
      <c r="A33" s="24"/>
      <c r="B33" s="32"/>
      <c r="C33" s="33"/>
      <c r="D33" s="33"/>
      <c r="E33" s="33"/>
      <c r="F33" s="28"/>
      <c r="G33" s="31"/>
      <c r="H33" s="25">
        <v>43980.0</v>
      </c>
      <c r="I33" s="29">
        <v>1190.0</v>
      </c>
      <c r="J33" s="27" t="s">
        <v>55</v>
      </c>
      <c r="K33" s="28"/>
      <c r="L33" s="27" t="s">
        <v>56</v>
      </c>
      <c r="M33" s="31"/>
    </row>
    <row r="34">
      <c r="A34" s="24"/>
      <c r="B34" s="32"/>
      <c r="C34" s="33"/>
      <c r="D34" s="33"/>
      <c r="E34" s="33"/>
      <c r="F34" s="28"/>
      <c r="G34" s="31"/>
      <c r="H34" s="25">
        <v>43980.0</v>
      </c>
      <c r="I34" s="29">
        <v>90.0</v>
      </c>
      <c r="J34" s="27" t="s">
        <v>57</v>
      </c>
      <c r="K34" s="28"/>
      <c r="L34" s="27" t="s">
        <v>58</v>
      </c>
      <c r="M34" s="31"/>
    </row>
    <row r="35">
      <c r="A35" s="24"/>
      <c r="B35" s="32"/>
      <c r="C35" s="33"/>
      <c r="D35" s="33"/>
      <c r="E35" s="33"/>
      <c r="F35" s="28"/>
      <c r="G35" s="31"/>
      <c r="H35" s="25">
        <v>43980.0</v>
      </c>
      <c r="I35" s="29">
        <v>44.02</v>
      </c>
      <c r="J35" s="27" t="s">
        <v>25</v>
      </c>
      <c r="K35" s="28"/>
      <c r="L35" s="27" t="s">
        <v>26</v>
      </c>
      <c r="M35" s="31"/>
    </row>
    <row r="36">
      <c r="A36" s="24"/>
      <c r="B36" s="32"/>
      <c r="C36" s="33"/>
      <c r="D36" s="33"/>
      <c r="E36" s="33"/>
      <c r="F36" s="28"/>
      <c r="G36" s="31"/>
      <c r="H36" s="25">
        <v>43981.0</v>
      </c>
      <c r="I36" s="29">
        <v>4.9</v>
      </c>
      <c r="J36" s="27" t="s">
        <v>60</v>
      </c>
      <c r="K36" s="34"/>
      <c r="L36" s="27" t="s">
        <v>36</v>
      </c>
      <c r="M36" s="31"/>
    </row>
    <row r="37">
      <c r="A37" s="24"/>
      <c r="B37" s="32"/>
      <c r="C37" s="33"/>
      <c r="D37" s="33"/>
      <c r="E37" s="33"/>
      <c r="F37" s="28"/>
      <c r="G37" s="31"/>
      <c r="H37" s="32"/>
      <c r="I37" s="70"/>
      <c r="J37" s="33"/>
      <c r="K37" s="33"/>
      <c r="L37" s="28"/>
      <c r="M37" s="31"/>
    </row>
    <row r="38">
      <c r="A38" s="24"/>
      <c r="B38" s="32"/>
      <c r="C38" s="33"/>
      <c r="D38" s="33"/>
      <c r="E38" s="33"/>
      <c r="F38" s="28"/>
      <c r="G38" s="31"/>
      <c r="H38" s="32"/>
      <c r="I38" s="70"/>
      <c r="J38" s="33"/>
      <c r="K38" s="33"/>
      <c r="L38" s="28"/>
      <c r="M38" s="31"/>
    </row>
    <row r="39">
      <c r="A39" s="24"/>
      <c r="B39" s="32"/>
      <c r="C39" s="33"/>
      <c r="D39" s="28"/>
      <c r="E39" s="28"/>
      <c r="F39" s="28"/>
      <c r="G39" s="24"/>
      <c r="H39" s="32"/>
      <c r="I39" s="70"/>
      <c r="J39" s="33"/>
      <c r="K39" s="33"/>
      <c r="L39" s="28"/>
      <c r="M39" s="31"/>
    </row>
    <row r="40">
      <c r="A40" s="24"/>
      <c r="B40" s="32"/>
      <c r="C40" s="33"/>
      <c r="D40" s="28"/>
      <c r="E40" s="28"/>
      <c r="F40" s="28"/>
      <c r="G40" s="24"/>
      <c r="H40" s="32"/>
      <c r="I40" s="70"/>
      <c r="J40" s="33"/>
      <c r="K40" s="33"/>
      <c r="L40" s="28"/>
      <c r="M40" s="31"/>
    </row>
    <row r="41">
      <c r="A41" s="24"/>
      <c r="B41" s="32"/>
      <c r="C41" s="33"/>
      <c r="D41" s="28"/>
      <c r="E41" s="28"/>
      <c r="F41" s="28"/>
      <c r="G41" s="31"/>
      <c r="H41" s="32"/>
      <c r="I41" s="70"/>
      <c r="J41" s="33"/>
      <c r="K41" s="33"/>
      <c r="L41" s="28"/>
      <c r="M41" s="31"/>
    </row>
    <row r="42">
      <c r="A42" s="24"/>
      <c r="B42" s="32"/>
      <c r="C42" s="33"/>
      <c r="D42" s="28"/>
      <c r="E42" s="28"/>
      <c r="F42" s="28"/>
      <c r="G42" s="31"/>
      <c r="H42" s="32"/>
      <c r="I42" s="70"/>
      <c r="J42" s="33"/>
      <c r="K42" s="33"/>
      <c r="L42" s="28"/>
      <c r="M42" s="31"/>
    </row>
    <row r="43">
      <c r="A43" s="24"/>
      <c r="B43" s="32"/>
      <c r="C43" s="33"/>
      <c r="D43" s="28"/>
      <c r="E43" s="28"/>
      <c r="F43" s="28"/>
      <c r="G43" s="31"/>
      <c r="H43" s="32"/>
      <c r="I43" s="70"/>
      <c r="J43" s="33"/>
      <c r="K43" s="33"/>
      <c r="L43" s="28"/>
      <c r="M43" s="31"/>
    </row>
    <row r="44">
      <c r="A44" s="24"/>
      <c r="B44" s="32"/>
      <c r="C44" s="33"/>
      <c r="D44" s="28"/>
      <c r="E44" s="28"/>
      <c r="F44" s="28"/>
      <c r="G44" s="31"/>
      <c r="H44" s="32"/>
      <c r="I44" s="70"/>
      <c r="J44" s="33"/>
      <c r="K44" s="33"/>
      <c r="L44" s="28"/>
      <c r="M44" s="31"/>
    </row>
    <row r="45">
      <c r="A45" s="24"/>
      <c r="B45" s="32"/>
      <c r="C45" s="33"/>
      <c r="D45" s="28"/>
      <c r="E45" s="28"/>
      <c r="F45" s="28"/>
      <c r="G45" s="31"/>
      <c r="H45" s="32"/>
      <c r="I45" s="70"/>
      <c r="J45" s="33"/>
      <c r="K45" s="33"/>
      <c r="L45" s="28"/>
      <c r="M45" s="31"/>
    </row>
    <row r="46">
      <c r="A46" s="24"/>
      <c r="B46" s="32"/>
      <c r="C46" s="33"/>
      <c r="D46" s="28"/>
      <c r="E46" s="28"/>
      <c r="F46" s="28"/>
      <c r="G46" s="31"/>
      <c r="H46" s="32"/>
      <c r="I46" s="70"/>
      <c r="J46" s="33"/>
      <c r="K46" s="33"/>
      <c r="L46" s="28"/>
      <c r="M46" s="31"/>
    </row>
    <row r="47">
      <c r="A47" s="24"/>
      <c r="B47" s="32"/>
      <c r="C47" s="33"/>
      <c r="D47" s="28"/>
      <c r="E47" s="28"/>
      <c r="F47" s="28"/>
      <c r="G47" s="31"/>
      <c r="H47" s="32"/>
      <c r="I47" s="70"/>
      <c r="J47" s="33"/>
      <c r="K47" s="33"/>
      <c r="L47" s="28"/>
      <c r="M47" s="31"/>
    </row>
    <row r="48">
      <c r="A48" s="24"/>
      <c r="B48" s="32"/>
      <c r="C48" s="33"/>
      <c r="D48" s="28"/>
      <c r="E48" s="28"/>
      <c r="F48" s="28"/>
      <c r="G48" s="31"/>
      <c r="H48" s="32"/>
      <c r="I48" s="70"/>
      <c r="J48" s="33"/>
      <c r="K48" s="33"/>
      <c r="L48" s="28"/>
      <c r="M48" s="31"/>
    </row>
    <row r="49">
      <c r="A49" s="24"/>
      <c r="B49" s="32"/>
      <c r="C49" s="33"/>
      <c r="D49" s="28"/>
      <c r="E49" s="28"/>
      <c r="F49" s="28"/>
      <c r="G49" s="31"/>
      <c r="H49" s="32"/>
      <c r="I49" s="70"/>
      <c r="J49" s="33"/>
      <c r="K49" s="33"/>
      <c r="L49" s="28"/>
      <c r="M49" s="31"/>
    </row>
    <row r="50">
      <c r="A50" s="24"/>
      <c r="B50" s="32"/>
      <c r="C50" s="33"/>
      <c r="D50" s="28"/>
      <c r="E50" s="28"/>
      <c r="F50" s="28"/>
      <c r="G50" s="31"/>
      <c r="H50" s="32"/>
      <c r="I50" s="70"/>
      <c r="J50" s="33"/>
      <c r="K50" s="33"/>
      <c r="L50" s="28"/>
      <c r="M50" s="31"/>
    </row>
    <row r="51">
      <c r="A51" s="24"/>
      <c r="B51" s="32"/>
      <c r="C51" s="33"/>
      <c r="D51" s="28"/>
      <c r="E51" s="28"/>
      <c r="F51" s="28"/>
      <c r="G51" s="31"/>
      <c r="H51" s="32"/>
      <c r="I51" s="70"/>
      <c r="J51" s="33"/>
      <c r="K51" s="33"/>
      <c r="L51" s="28"/>
      <c r="M51" s="31"/>
    </row>
    <row r="52">
      <c r="A52" s="24"/>
      <c r="B52" s="32"/>
      <c r="C52" s="33"/>
      <c r="D52" s="28"/>
      <c r="E52" s="28"/>
      <c r="F52" s="28"/>
      <c r="G52" s="31"/>
      <c r="H52" s="32"/>
      <c r="I52" s="70"/>
      <c r="J52" s="33"/>
      <c r="K52" s="33"/>
      <c r="L52" s="28"/>
      <c r="M52" s="31"/>
    </row>
    <row r="53">
      <c r="A53" s="24"/>
      <c r="B53" s="32"/>
      <c r="C53" s="33"/>
      <c r="D53" s="28"/>
      <c r="E53" s="28"/>
      <c r="F53" s="28"/>
      <c r="G53" s="31"/>
      <c r="H53" s="32"/>
      <c r="I53" s="70"/>
      <c r="J53" s="33"/>
      <c r="K53" s="33"/>
      <c r="L53" s="28"/>
      <c r="M53" s="31"/>
    </row>
    <row r="54">
      <c r="A54" s="24"/>
      <c r="B54" s="32"/>
      <c r="C54" s="33"/>
      <c r="D54" s="33"/>
      <c r="E54" s="33"/>
      <c r="F54" s="28"/>
      <c r="G54" s="31"/>
      <c r="H54" s="32"/>
      <c r="I54" s="70"/>
      <c r="J54" s="33"/>
      <c r="K54" s="33"/>
      <c r="L54" s="28"/>
      <c r="M54" s="31"/>
    </row>
    <row r="55">
      <c r="A55" s="24"/>
      <c r="B55" s="32"/>
      <c r="C55" s="33"/>
      <c r="D55" s="28"/>
      <c r="E55" s="28"/>
      <c r="F55" s="28"/>
      <c r="G55" s="31"/>
      <c r="H55" s="32"/>
      <c r="I55" s="70"/>
      <c r="J55" s="28"/>
      <c r="K55" s="28"/>
      <c r="L55" s="28"/>
      <c r="M55" s="31"/>
    </row>
    <row r="56">
      <c r="A56" s="24"/>
      <c r="B56" s="32"/>
      <c r="C56" s="33"/>
      <c r="D56" s="28"/>
      <c r="E56" s="28"/>
      <c r="F56" s="28"/>
      <c r="G56" s="24"/>
      <c r="H56" s="32"/>
      <c r="I56" s="70"/>
      <c r="J56" s="33"/>
      <c r="K56" s="33"/>
      <c r="L56" s="28"/>
      <c r="M56" s="31"/>
    </row>
    <row r="57">
      <c r="A57" s="24"/>
      <c r="B57" s="32"/>
      <c r="C57" s="33"/>
      <c r="D57" s="28"/>
      <c r="E57" s="28"/>
      <c r="F57" s="28"/>
      <c r="G57" s="24"/>
      <c r="H57" s="32"/>
      <c r="I57" s="70"/>
      <c r="J57" s="28"/>
      <c r="K57" s="28"/>
      <c r="L57" s="28"/>
      <c r="M57" s="31"/>
    </row>
    <row r="58">
      <c r="A58" s="24"/>
      <c r="B58" s="87"/>
      <c r="C58" s="88"/>
      <c r="D58" s="89"/>
      <c r="E58" s="89"/>
      <c r="F58" s="89"/>
      <c r="G58" s="24"/>
      <c r="H58" s="87"/>
      <c r="I58" s="90"/>
      <c r="J58" s="89"/>
      <c r="K58" s="89"/>
      <c r="L58" s="89"/>
      <c r="M58" s="31"/>
    </row>
    <row r="59">
      <c r="A59" s="24"/>
      <c r="B59" s="87"/>
      <c r="C59" s="88"/>
      <c r="D59" s="89"/>
      <c r="E59" s="89"/>
      <c r="F59" s="89"/>
      <c r="G59" s="24"/>
      <c r="H59" s="87"/>
      <c r="I59" s="90"/>
      <c r="J59" s="89"/>
      <c r="K59" s="89"/>
      <c r="L59" s="89"/>
      <c r="M59" s="31"/>
    </row>
    <row r="60">
      <c r="A60" s="24"/>
      <c r="B60" s="87"/>
      <c r="C60" s="88"/>
      <c r="D60" s="89"/>
      <c r="E60" s="89"/>
      <c r="F60" s="89"/>
      <c r="G60" s="24"/>
      <c r="H60" s="87"/>
      <c r="I60" s="90"/>
      <c r="J60" s="89"/>
      <c r="K60" s="89"/>
      <c r="L60" s="89"/>
      <c r="M60" s="31"/>
    </row>
    <row r="61">
      <c r="A61" s="24"/>
      <c r="B61" s="87"/>
      <c r="C61" s="88"/>
      <c r="D61" s="89"/>
      <c r="E61" s="89"/>
      <c r="F61" s="89"/>
      <c r="G61" s="24"/>
      <c r="H61" s="87"/>
      <c r="I61" s="90"/>
      <c r="J61" s="89"/>
      <c r="K61" s="89"/>
      <c r="L61" s="89"/>
      <c r="M61" s="31"/>
    </row>
    <row r="62">
      <c r="A62" s="24"/>
      <c r="B62" s="87"/>
      <c r="C62" s="88"/>
      <c r="D62" s="89"/>
      <c r="E62" s="89"/>
      <c r="F62" s="89"/>
      <c r="G62" s="24"/>
      <c r="H62" s="87"/>
      <c r="I62" s="90"/>
      <c r="J62" s="89"/>
      <c r="K62" s="89"/>
      <c r="L62" s="89"/>
      <c r="M62" s="31"/>
    </row>
    <row r="63">
      <c r="A63" s="24"/>
      <c r="B63" s="87"/>
      <c r="C63" s="88"/>
      <c r="D63" s="89"/>
      <c r="E63" s="89"/>
      <c r="F63" s="89"/>
      <c r="G63" s="24"/>
      <c r="H63" s="87"/>
      <c r="I63" s="90"/>
      <c r="J63" s="89"/>
      <c r="K63" s="89"/>
      <c r="L63" s="89"/>
      <c r="M63" s="31"/>
    </row>
    <row r="64">
      <c r="A64" s="24"/>
      <c r="B64" s="87"/>
      <c r="C64" s="88"/>
      <c r="D64" s="89"/>
      <c r="E64" s="89"/>
      <c r="F64" s="89"/>
      <c r="G64" s="24"/>
      <c r="H64" s="87"/>
      <c r="I64" s="90"/>
      <c r="J64" s="89"/>
      <c r="K64" s="89"/>
      <c r="L64" s="89"/>
      <c r="M64" s="31"/>
    </row>
    <row r="65">
      <c r="A65" s="24"/>
      <c r="B65" s="87"/>
      <c r="C65" s="88"/>
      <c r="D65" s="89"/>
      <c r="E65" s="89"/>
      <c r="F65" s="89"/>
      <c r="G65" s="24"/>
      <c r="H65" s="87"/>
      <c r="I65" s="90"/>
      <c r="J65" s="89"/>
      <c r="K65" s="89"/>
      <c r="L65" s="89"/>
      <c r="M65" s="31"/>
    </row>
    <row r="66">
      <c r="A66" s="24"/>
      <c r="B66" s="87"/>
      <c r="C66" s="88"/>
      <c r="D66" s="89"/>
      <c r="E66" s="89"/>
      <c r="F66" s="89"/>
      <c r="G66" s="24"/>
      <c r="H66" s="87"/>
      <c r="I66" s="90"/>
      <c r="J66" s="89"/>
      <c r="K66" s="89"/>
      <c r="L66" s="89"/>
      <c r="M66" s="31"/>
    </row>
    <row r="67">
      <c r="A67" s="24"/>
      <c r="B67" s="87"/>
      <c r="C67" s="88"/>
      <c r="D67" s="89"/>
      <c r="E67" s="89"/>
      <c r="F67" s="89"/>
      <c r="G67" s="24"/>
      <c r="H67" s="87"/>
      <c r="I67" s="90"/>
      <c r="J67" s="89"/>
      <c r="K67" s="89"/>
      <c r="L67" s="89"/>
      <c r="M67" s="31"/>
    </row>
    <row r="68">
      <c r="A68" s="24"/>
      <c r="B68" s="87"/>
      <c r="C68" s="88"/>
      <c r="D68" s="89"/>
      <c r="E68" s="89"/>
      <c r="F68" s="89"/>
      <c r="G68" s="24"/>
      <c r="H68" s="87"/>
      <c r="I68" s="90"/>
      <c r="J68" s="89"/>
      <c r="K68" s="89"/>
      <c r="L68" s="89"/>
      <c r="M68" s="31"/>
    </row>
    <row r="69">
      <c r="A69" s="24"/>
      <c r="B69" s="87"/>
      <c r="C69" s="88"/>
      <c r="D69" s="89"/>
      <c r="E69" s="89"/>
      <c r="F69" s="89"/>
      <c r="G69" s="24"/>
      <c r="H69" s="87"/>
      <c r="I69" s="90"/>
      <c r="J69" s="89"/>
      <c r="K69" s="89"/>
      <c r="L69" s="89"/>
      <c r="M69" s="31"/>
    </row>
    <row r="70">
      <c r="A70" s="24"/>
      <c r="B70" s="87"/>
      <c r="C70" s="88"/>
      <c r="D70" s="89"/>
      <c r="E70" s="89"/>
      <c r="F70" s="89"/>
      <c r="G70" s="24"/>
      <c r="H70" s="87"/>
      <c r="I70" s="90"/>
      <c r="J70" s="89"/>
      <c r="K70" s="89"/>
      <c r="L70" s="89"/>
      <c r="M70" s="31"/>
    </row>
    <row r="71">
      <c r="A71" s="24"/>
      <c r="B71" s="87"/>
      <c r="C71" s="88"/>
      <c r="D71" s="89"/>
      <c r="E71" s="89"/>
      <c r="F71" s="89"/>
      <c r="G71" s="24"/>
      <c r="H71" s="87"/>
      <c r="I71" s="90"/>
      <c r="J71" s="89"/>
      <c r="K71" s="89"/>
      <c r="L71" s="89"/>
      <c r="M71" s="31"/>
    </row>
    <row r="72">
      <c r="A72" s="24"/>
      <c r="B72" s="87"/>
      <c r="C72" s="88"/>
      <c r="D72" s="89"/>
      <c r="E72" s="89"/>
      <c r="F72" s="89"/>
      <c r="G72" s="24"/>
      <c r="H72" s="87"/>
      <c r="I72" s="90"/>
      <c r="J72" s="89"/>
      <c r="K72" s="89"/>
      <c r="L72" s="89"/>
      <c r="M72" s="31"/>
    </row>
    <row r="73">
      <c r="A73" s="24"/>
      <c r="B73" s="87"/>
      <c r="C73" s="88"/>
      <c r="D73" s="89"/>
      <c r="E73" s="89"/>
      <c r="F73" s="89"/>
      <c r="G73" s="24"/>
      <c r="H73" s="87"/>
      <c r="I73" s="90"/>
      <c r="J73" s="89"/>
      <c r="K73" s="89"/>
      <c r="L73" s="89"/>
      <c r="M73" s="31"/>
    </row>
    <row r="74">
      <c r="A74" s="24"/>
      <c r="B74" s="87"/>
      <c r="C74" s="88"/>
      <c r="D74" s="89"/>
      <c r="E74" s="89"/>
      <c r="F74" s="89"/>
      <c r="G74" s="24"/>
      <c r="H74" s="87"/>
      <c r="I74" s="90"/>
      <c r="J74" s="89"/>
      <c r="K74" s="89"/>
      <c r="L74" s="89"/>
      <c r="M74" s="31"/>
    </row>
    <row r="75">
      <c r="A75" s="24"/>
      <c r="B75" s="87"/>
      <c r="C75" s="88"/>
      <c r="D75" s="89"/>
      <c r="E75" s="89"/>
      <c r="F75" s="89"/>
      <c r="G75" s="24"/>
      <c r="H75" s="87"/>
      <c r="I75" s="90"/>
      <c r="J75" s="89"/>
      <c r="K75" s="89"/>
      <c r="L75" s="89"/>
      <c r="M75" s="31"/>
    </row>
    <row r="76">
      <c r="A76" s="24"/>
      <c r="B76" s="87"/>
      <c r="C76" s="88"/>
      <c r="D76" s="89"/>
      <c r="E76" s="89"/>
      <c r="F76" s="89"/>
      <c r="G76" s="24"/>
      <c r="H76" s="87"/>
      <c r="I76" s="90"/>
      <c r="J76" s="89"/>
      <c r="K76" s="89"/>
      <c r="L76" s="89"/>
      <c r="M76" s="31"/>
    </row>
    <row r="77">
      <c r="A77" s="24"/>
      <c r="B77" s="87"/>
      <c r="C77" s="88"/>
      <c r="D77" s="89"/>
      <c r="E77" s="89"/>
      <c r="F77" s="89"/>
      <c r="G77" s="24"/>
      <c r="H77" s="87"/>
      <c r="I77" s="90"/>
      <c r="J77" s="89"/>
      <c r="K77" s="89"/>
      <c r="L77" s="89"/>
      <c r="M77" s="31"/>
    </row>
    <row r="78">
      <c r="A78" s="24"/>
      <c r="B78" s="87"/>
      <c r="C78" s="88"/>
      <c r="D78" s="89"/>
      <c r="E78" s="89"/>
      <c r="F78" s="89"/>
      <c r="G78" s="24"/>
      <c r="H78" s="87"/>
      <c r="I78" s="90"/>
      <c r="J78" s="89"/>
      <c r="K78" s="89"/>
      <c r="L78" s="89"/>
      <c r="M78" s="31"/>
    </row>
    <row r="79">
      <c r="A79" s="24"/>
      <c r="B79" s="87"/>
      <c r="C79" s="88"/>
      <c r="D79" s="89"/>
      <c r="E79" s="89"/>
      <c r="F79" s="89"/>
      <c r="G79" s="24"/>
      <c r="H79" s="87"/>
      <c r="I79" s="90"/>
      <c r="J79" s="89"/>
      <c r="K79" s="89"/>
      <c r="L79" s="89"/>
      <c r="M79" s="31"/>
    </row>
    <row r="80">
      <c r="A80" s="24"/>
      <c r="B80" s="87"/>
      <c r="C80" s="88"/>
      <c r="D80" s="89"/>
      <c r="E80" s="89"/>
      <c r="F80" s="89"/>
      <c r="G80" s="24"/>
      <c r="H80" s="87"/>
      <c r="I80" s="90"/>
      <c r="J80" s="89"/>
      <c r="K80" s="89"/>
      <c r="L80" s="89"/>
      <c r="M80" s="31"/>
    </row>
    <row r="81">
      <c r="A81" s="24"/>
      <c r="B81" s="87"/>
      <c r="C81" s="88"/>
      <c r="D81" s="89"/>
      <c r="E81" s="89"/>
      <c r="F81" s="89"/>
      <c r="G81" s="24"/>
      <c r="H81" s="87"/>
      <c r="I81" s="90"/>
      <c r="J81" s="89"/>
      <c r="K81" s="89"/>
      <c r="L81" s="89"/>
      <c r="M81" s="31"/>
    </row>
    <row r="82">
      <c r="A82" s="24"/>
      <c r="B82" s="87"/>
      <c r="C82" s="88"/>
      <c r="D82" s="89"/>
      <c r="E82" s="89"/>
      <c r="F82" s="89"/>
      <c r="G82" s="24"/>
      <c r="H82" s="87"/>
      <c r="I82" s="90"/>
      <c r="J82" s="89"/>
      <c r="K82" s="89"/>
      <c r="L82" s="89"/>
      <c r="M82" s="31"/>
    </row>
    <row r="83">
      <c r="A83" s="24"/>
      <c r="B83" s="87"/>
      <c r="C83" s="88"/>
      <c r="D83" s="89"/>
      <c r="E83" s="89"/>
      <c r="F83" s="89"/>
      <c r="G83" s="24"/>
      <c r="H83" s="87"/>
      <c r="I83" s="90"/>
      <c r="J83" s="89"/>
      <c r="K83" s="89"/>
      <c r="L83" s="89"/>
      <c r="M83" s="31"/>
    </row>
    <row r="84">
      <c r="A84" s="24"/>
      <c r="B84" s="87"/>
      <c r="C84" s="88"/>
      <c r="D84" s="89"/>
      <c r="E84" s="89"/>
      <c r="F84" s="89"/>
      <c r="G84" s="24"/>
      <c r="H84" s="87"/>
      <c r="I84" s="90"/>
      <c r="J84" s="89"/>
      <c r="K84" s="89"/>
      <c r="L84" s="89"/>
      <c r="M84" s="31"/>
    </row>
    <row r="85">
      <c r="A85" s="24"/>
      <c r="B85" s="87"/>
      <c r="C85" s="88"/>
      <c r="D85" s="89"/>
      <c r="E85" s="89"/>
      <c r="F85" s="89"/>
      <c r="G85" s="24"/>
      <c r="H85" s="87"/>
      <c r="I85" s="90"/>
      <c r="J85" s="89"/>
      <c r="K85" s="89"/>
      <c r="L85" s="89"/>
      <c r="M85" s="31"/>
    </row>
    <row r="86">
      <c r="A86" s="24"/>
      <c r="B86" s="87"/>
      <c r="C86" s="88"/>
      <c r="D86" s="89"/>
      <c r="E86" s="89"/>
      <c r="F86" s="89"/>
      <c r="G86" s="24"/>
      <c r="H86" s="87"/>
      <c r="I86" s="90"/>
      <c r="J86" s="89"/>
      <c r="K86" s="89"/>
      <c r="L86" s="89"/>
      <c r="M86" s="31"/>
    </row>
    <row r="87">
      <c r="A87" s="24"/>
      <c r="B87" s="87"/>
      <c r="C87" s="88"/>
      <c r="D87" s="89"/>
      <c r="E87" s="89"/>
      <c r="F87" s="89"/>
      <c r="G87" s="24"/>
      <c r="H87" s="87"/>
      <c r="I87" s="90"/>
      <c r="J87" s="89"/>
      <c r="K87" s="89"/>
      <c r="L87" s="89"/>
      <c r="M87" s="31"/>
    </row>
    <row r="88">
      <c r="A88" s="24"/>
      <c r="B88" s="87"/>
      <c r="C88" s="88"/>
      <c r="D88" s="89"/>
      <c r="E88" s="89"/>
      <c r="F88" s="89"/>
      <c r="G88" s="24"/>
      <c r="H88" s="87"/>
      <c r="I88" s="90"/>
      <c r="J88" s="89"/>
      <c r="K88" s="89"/>
      <c r="L88" s="89"/>
      <c r="M88" s="31"/>
    </row>
    <row r="89">
      <c r="A89" s="24"/>
      <c r="B89" s="87"/>
      <c r="C89" s="88"/>
      <c r="D89" s="89"/>
      <c r="E89" s="89"/>
      <c r="F89" s="89"/>
      <c r="G89" s="24"/>
      <c r="H89" s="87"/>
      <c r="I89" s="90"/>
      <c r="J89" s="89"/>
      <c r="K89" s="89"/>
      <c r="L89" s="89"/>
      <c r="M89" s="31"/>
    </row>
    <row r="90">
      <c r="A90" s="24"/>
      <c r="B90" s="87"/>
      <c r="C90" s="88"/>
      <c r="D90" s="89"/>
      <c r="E90" s="89"/>
      <c r="F90" s="89"/>
      <c r="G90" s="24"/>
      <c r="H90" s="87"/>
      <c r="I90" s="90"/>
      <c r="J90" s="89"/>
      <c r="K90" s="89"/>
      <c r="L90" s="89"/>
      <c r="M90" s="31"/>
    </row>
    <row r="91">
      <c r="A91" s="24"/>
      <c r="B91" s="87"/>
      <c r="C91" s="88"/>
      <c r="D91" s="89"/>
      <c r="E91" s="89"/>
      <c r="F91" s="89"/>
      <c r="G91" s="24"/>
      <c r="H91" s="87"/>
      <c r="I91" s="90"/>
      <c r="J91" s="89"/>
      <c r="K91" s="89"/>
      <c r="L91" s="89"/>
      <c r="M91" s="31"/>
    </row>
    <row r="92">
      <c r="A92" s="24"/>
      <c r="B92" s="87"/>
      <c r="C92" s="88"/>
      <c r="D92" s="89"/>
      <c r="E92" s="89"/>
      <c r="F92" s="89"/>
      <c r="G92" s="24"/>
      <c r="H92" s="87"/>
      <c r="I92" s="90"/>
      <c r="J92" s="89"/>
      <c r="K92" s="89"/>
      <c r="L92" s="89"/>
      <c r="M92" s="31"/>
    </row>
    <row r="93">
      <c r="A93" s="24"/>
      <c r="B93" s="87"/>
      <c r="C93" s="88"/>
      <c r="D93" s="89"/>
      <c r="E93" s="89"/>
      <c r="F93" s="89"/>
      <c r="G93" s="24"/>
      <c r="H93" s="87"/>
      <c r="I93" s="90"/>
      <c r="J93" s="89"/>
      <c r="K93" s="89"/>
      <c r="L93" s="89"/>
      <c r="M93" s="31"/>
    </row>
    <row r="94">
      <c r="A94" s="24"/>
      <c r="B94" s="87"/>
      <c r="C94" s="88"/>
      <c r="D94" s="89"/>
      <c r="E94" s="89"/>
      <c r="F94" s="89"/>
      <c r="G94" s="24"/>
      <c r="H94" s="87"/>
      <c r="I94" s="90"/>
      <c r="J94" s="89"/>
      <c r="K94" s="89"/>
      <c r="L94" s="89"/>
      <c r="M94" s="31"/>
    </row>
    <row r="95">
      <c r="A95" s="24"/>
      <c r="B95" s="87"/>
      <c r="C95" s="88"/>
      <c r="D95" s="89"/>
      <c r="E95" s="89"/>
      <c r="F95" s="89"/>
      <c r="G95" s="24"/>
      <c r="H95" s="87"/>
      <c r="I95" s="90"/>
      <c r="J95" s="89"/>
      <c r="K95" s="89"/>
      <c r="L95" s="89"/>
      <c r="M95" s="31"/>
    </row>
    <row r="96">
      <c r="A96" s="24"/>
      <c r="B96" s="87"/>
      <c r="C96" s="88"/>
      <c r="D96" s="89"/>
      <c r="E96" s="89"/>
      <c r="F96" s="89"/>
      <c r="G96" s="24"/>
      <c r="H96" s="87"/>
      <c r="I96" s="90"/>
      <c r="J96" s="89"/>
      <c r="K96" s="89"/>
      <c r="L96" s="89"/>
      <c r="M96" s="31"/>
    </row>
    <row r="97">
      <c r="A97" s="24"/>
      <c r="B97" s="87"/>
      <c r="C97" s="88"/>
      <c r="D97" s="89"/>
      <c r="E97" s="89"/>
      <c r="F97" s="89"/>
      <c r="G97" s="24"/>
      <c r="H97" s="87"/>
      <c r="I97" s="90"/>
      <c r="J97" s="89"/>
      <c r="K97" s="89"/>
      <c r="L97" s="89"/>
      <c r="M97" s="31"/>
    </row>
    <row r="98">
      <c r="A98" s="24"/>
      <c r="B98" s="87"/>
      <c r="C98" s="88"/>
      <c r="D98" s="89"/>
      <c r="E98" s="89"/>
      <c r="F98" s="89"/>
      <c r="G98" s="24"/>
      <c r="H98" s="87"/>
      <c r="I98" s="90"/>
      <c r="J98" s="89"/>
      <c r="K98" s="89"/>
      <c r="L98" s="89"/>
      <c r="M98" s="31"/>
    </row>
    <row r="99">
      <c r="A99" s="24"/>
      <c r="B99" s="87"/>
      <c r="C99" s="88"/>
      <c r="D99" s="89"/>
      <c r="E99" s="89"/>
      <c r="F99" s="89"/>
      <c r="G99" s="24"/>
      <c r="H99" s="87"/>
      <c r="I99" s="90"/>
      <c r="J99" s="89"/>
      <c r="K99" s="89"/>
      <c r="L99" s="89"/>
      <c r="M99" s="31"/>
    </row>
    <row r="100">
      <c r="A100" s="24"/>
      <c r="B100" s="87"/>
      <c r="C100" s="88"/>
      <c r="D100" s="89"/>
      <c r="E100" s="89"/>
      <c r="F100" s="89"/>
      <c r="G100" s="24"/>
      <c r="H100" s="87"/>
      <c r="I100" s="90"/>
      <c r="J100" s="89"/>
      <c r="K100" s="89"/>
      <c r="L100" s="89"/>
      <c r="M100" s="31"/>
    </row>
  </sheetData>
  <mergeCells count="6">
    <mergeCell ref="B2:L2"/>
    <mergeCell ref="B3:L3"/>
    <mergeCell ref="B4:L4"/>
    <mergeCell ref="B5:L5"/>
    <mergeCell ref="B6:F9"/>
    <mergeCell ref="H6:L9"/>
  </mergeCells>
  <dataValidations>
    <dataValidation type="list" allowBlank="1" showErrorMessage="1" sqref="L11:L100">
      <formula1>'Insights 👀'!$H$37:$H$59</formula1>
    </dataValidation>
    <dataValidation type="list" allowBlank="1" showErrorMessage="1" sqref="F11:F100">
      <formula1>'Insights 👀'!$B$37:$B$41</formula1>
    </dataValidation>
  </dataValidations>
  <drawing r:id="rId1"/>
</worksheet>
</file>