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5"/>
    <sheet state="visible" name="Am I over Budget" sheetId="2" r:id="rId6"/>
    <sheet state="visible" name="Credit Card Tracker" sheetId="3" r:id="rId7"/>
    <sheet state="visible" name="Stonks" sheetId="4" r:id="rId8"/>
    <sheet state="visible" name="Loanward Bound" sheetId="5" r:id="rId9"/>
    <sheet state="visible" name="Savings Goal Calculator" sheetId="6" r:id="rId10"/>
    <sheet state="visible" name="Savings Percentage Calculator" sheetId="7" r:id="rId11"/>
    <sheet state="visible" name="Large Purchase Calculator" sheetId="8" r:id="rId12"/>
    <sheet state="visible" name="Back Door" sheetId="9" r:id="rId13"/>
  </sheets>
  <definedNames/>
  <calcPr/>
</workbook>
</file>

<file path=xl/sharedStrings.xml><?xml version="1.0" encoding="utf-8"?>
<sst xmlns="http://schemas.openxmlformats.org/spreadsheetml/2006/main" count="174" uniqueCount="138">
  <si>
    <t>Am I over Budget???</t>
  </si>
  <si>
    <t>Name</t>
  </si>
  <si>
    <t>Stonks Tracker</t>
  </si>
  <si>
    <t>Budget</t>
  </si>
  <si>
    <t>Spending</t>
  </si>
  <si>
    <t>Electric</t>
  </si>
  <si>
    <t>Ticker</t>
  </si>
  <si>
    <t>Shares Owned</t>
  </si>
  <si>
    <t>Buy Price</t>
  </si>
  <si>
    <t>Current price</t>
  </si>
  <si>
    <t>% change</t>
  </si>
  <si>
    <t>Current value</t>
  </si>
  <si>
    <t>$ up/down</t>
  </si>
  <si>
    <t>Yearly Trend</t>
  </si>
  <si>
    <t>Today's change</t>
  </si>
  <si>
    <t>VXE</t>
  </si>
  <si>
    <t>ಠ_ಠ</t>
  </si>
  <si>
    <t>bubble tea</t>
  </si>
  <si>
    <t>lunch</t>
  </si>
  <si>
    <t>BND</t>
  </si>
  <si>
    <t>Date</t>
  </si>
  <si>
    <t>Category</t>
  </si>
  <si>
    <t>Spent</t>
  </si>
  <si>
    <t>Note</t>
  </si>
  <si>
    <t>Credit Card Tracker</t>
  </si>
  <si>
    <t>We did it reddit</t>
  </si>
  <si>
    <t xml:space="preserve">Total Monthly Payments: </t>
  </si>
  <si>
    <t>oh shit o fuk</t>
  </si>
  <si>
    <t>Highest Balance:</t>
  </si>
  <si>
    <t>Lowest balance:</t>
  </si>
  <si>
    <t>Closest to Pay Off:</t>
  </si>
  <si>
    <t>Card Name</t>
  </si>
  <si>
    <t>Bank</t>
  </si>
  <si>
    <t>Card Limit</t>
  </si>
  <si>
    <t>Annual Fee</t>
  </si>
  <si>
    <t>Balance</t>
  </si>
  <si>
    <t>Interest Rate</t>
  </si>
  <si>
    <t>Interest Only Payment</t>
  </si>
  <si>
    <t>Monthly Payment</t>
  </si>
  <si>
    <t>Total Interest Paid</t>
  </si>
  <si>
    <t>Months to Pay off</t>
  </si>
  <si>
    <t>Whew</t>
  </si>
  <si>
    <t>Bank od America</t>
  </si>
  <si>
    <t>Secured</t>
  </si>
  <si>
    <t>Capital One</t>
  </si>
  <si>
    <t>Interest Calculator</t>
  </si>
  <si>
    <t>Loan Amount</t>
  </si>
  <si>
    <t>Annual Interest Rate</t>
  </si>
  <si>
    <t>Repaymentperiod (years)</t>
  </si>
  <si>
    <t>Monthly Payment Amount</t>
  </si>
  <si>
    <t>Repayment Period (Years)</t>
  </si>
  <si>
    <t>Savings goal Tracker</t>
  </si>
  <si>
    <t>Monthly Expenses</t>
  </si>
  <si>
    <t>Monthly Income</t>
  </si>
  <si>
    <t>Date Started Saving</t>
  </si>
  <si>
    <t>Beginning Balance</t>
  </si>
  <si>
    <t>Monthly Savings</t>
  </si>
  <si>
    <t>Savings Percentage Calculator</t>
  </si>
  <si>
    <t>Savings Goal</t>
  </si>
  <si>
    <t xml:space="preserve">Use this to calculate the amount you want to save as a percentage of your income- to make it easier to put into the Budget! </t>
  </si>
  <si>
    <t xml:space="preserve">Current Balance: </t>
  </si>
  <si>
    <t>Income:</t>
  </si>
  <si>
    <t>Spendable:</t>
  </si>
  <si>
    <t>Savings</t>
  </si>
  <si>
    <t>Percent savings</t>
  </si>
  <si>
    <t>Months to Goal</t>
  </si>
  <si>
    <t xml:space="preserve">Monthly Saving amount: </t>
  </si>
  <si>
    <t>Extra Savings Adjustments</t>
  </si>
  <si>
    <t>Date:</t>
  </si>
  <si>
    <t>Amount Adjusted:</t>
  </si>
  <si>
    <t>Notes:</t>
  </si>
  <si>
    <t>Gift</t>
  </si>
  <si>
    <t>Car problems</t>
  </si>
  <si>
    <t>INSTRUCTIONS FOUND HERE</t>
  </si>
  <si>
    <t>Large Purchase Calculator</t>
  </si>
  <si>
    <t xml:space="preserve">Item: </t>
  </si>
  <si>
    <t>Vic20</t>
  </si>
  <si>
    <t>Price</t>
  </si>
  <si>
    <t xml:space="preserve">Pay Schedule: </t>
  </si>
  <si>
    <t>Months until purchase</t>
  </si>
  <si>
    <t xml:space="preserve">Savings Percentages: </t>
  </si>
  <si>
    <t>Savings:</t>
  </si>
  <si>
    <t>Due Date</t>
  </si>
  <si>
    <t>Beginning of the month</t>
  </si>
  <si>
    <t>End Of the Month</t>
  </si>
  <si>
    <t>Calculate spendable using:</t>
  </si>
  <si>
    <t>Weekly</t>
  </si>
  <si>
    <t xml:space="preserve"> Daily</t>
  </si>
  <si>
    <t xml:space="preserve">Adjust Budget? </t>
  </si>
  <si>
    <t>n/a</t>
  </si>
  <si>
    <t xml:space="preserve">Weekly Spendable: </t>
  </si>
  <si>
    <t>Today</t>
  </si>
  <si>
    <t xml:space="preserve">Monthly Spendable: </t>
  </si>
  <si>
    <t>Bi-Weekly</t>
  </si>
  <si>
    <t>Last Day Month</t>
  </si>
  <si>
    <t>Monthly Savings:</t>
  </si>
  <si>
    <t>Bi-Monthly</t>
  </si>
  <si>
    <t>Days left</t>
  </si>
  <si>
    <t xml:space="preserve">Income: </t>
  </si>
  <si>
    <t>Monthly</t>
  </si>
  <si>
    <t>Credit Card Summary:</t>
  </si>
  <si>
    <t>Time</t>
  </si>
  <si>
    <t xml:space="preserve">Payments: </t>
  </si>
  <si>
    <t>Hour</t>
  </si>
  <si>
    <t xml:space="preserve"># of Cards: </t>
  </si>
  <si>
    <t>Welcome</t>
  </si>
  <si>
    <t xml:space="preserve">Monthly Payments: </t>
  </si>
  <si>
    <t xml:space="preserve">Net Income: </t>
  </si>
  <si>
    <t>Extra Regular Income:</t>
  </si>
  <si>
    <t>Counts</t>
  </si>
  <si>
    <t xml:space="preserve">Total Monthly Income: </t>
  </si>
  <si>
    <t>Expenses</t>
  </si>
  <si>
    <t>Change My Name 1</t>
  </si>
  <si>
    <t>Paid?</t>
  </si>
  <si>
    <t>Change My Name 4</t>
  </si>
  <si>
    <t>Rent</t>
  </si>
  <si>
    <t>rental</t>
  </si>
  <si>
    <t>cats</t>
  </si>
  <si>
    <t>Phone</t>
  </si>
  <si>
    <t>Calculation:</t>
  </si>
  <si>
    <t>all</t>
  </si>
  <si>
    <t>Pay Period</t>
  </si>
  <si>
    <t>Total</t>
  </si>
  <si>
    <t>Version 1.5</t>
  </si>
  <si>
    <t>Change My Name 2</t>
  </si>
  <si>
    <t>Change My Name 5</t>
  </si>
  <si>
    <t>groceries</t>
  </si>
  <si>
    <t>Loans</t>
  </si>
  <si>
    <t>Train pass</t>
  </si>
  <si>
    <t>Change My Name 3</t>
  </si>
  <si>
    <t>Change My Name 6</t>
  </si>
  <si>
    <t>Netflix</t>
  </si>
  <si>
    <t>Adobe</t>
  </si>
  <si>
    <t>Sporitfy</t>
  </si>
  <si>
    <t>Youtube Premium</t>
  </si>
  <si>
    <t>Large Purchase</t>
  </si>
  <si>
    <t>Monthly Saved</t>
  </si>
  <si>
    <t xml:space="preserve">Total Expenses: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</si>
</sst>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$]#,##0.00"/>
    <numFmt numFmtId="165" formatCode="yyyy-mm-dd"/>
    <numFmt numFmtId="166" formatCode="&quot;$&quot;#,##0.00"/>
    <numFmt numFmtId="167" formatCode="0.0"/>
    <numFmt numFmtId="168" formatCode="0.0%"/>
    <numFmt numFmtId="169" formatCode="m/d/yy"/>
    <numFmt numFmtId="170" formatCode="m&quot;/&quot;d&quot;/&quot;yy"/>
    <numFmt numFmtId="171" formatCode="mm/dd/yyyy"/>
  </numFmts>
  <fonts count="51">
    <font>
      <sz val="10.0"/>
      <color rgb="FF000000"/>
      <name val="Arial"/>
      <scheme val="minor"/>
    </font>
    <font>
      <sz val="18.0"/>
      <color rgb="FFFFFFFF"/>
      <name val="Pacifico"/>
    </font>
    <font/>
    <font>
      <sz val="24.0"/>
      <color rgb="FFFFFFFF"/>
      <name val="Pacifico"/>
    </font>
    <font>
      <sz val="8.0"/>
      <color theme="1"/>
      <name val="Exo"/>
    </font>
    <font>
      <color theme="1"/>
      <name val="Arial"/>
      <scheme val="minor"/>
    </font>
    <font>
      <sz val="10.0"/>
      <color rgb="FF666666"/>
      <name val="Exo"/>
    </font>
    <font>
      <sz val="12.0"/>
      <color rgb="FF999999"/>
      <name val="Exo"/>
    </font>
    <font>
      <sz val="9.0"/>
      <color rgb="FF666666"/>
      <name val="Exo"/>
    </font>
    <font>
      <sz val="8.0"/>
      <color theme="0"/>
      <name val="Exo"/>
    </font>
    <font>
      <color theme="1"/>
      <name val="Arial"/>
    </font>
    <font>
      <b/>
      <sz val="11.0"/>
      <color rgb="FF45818E"/>
      <name val="Exo"/>
    </font>
    <font>
      <sz val="16.0"/>
      <color rgb="FFFFFFFF"/>
      <name val="Pacifico"/>
    </font>
    <font>
      <b/>
      <color rgb="FF6FA8DC"/>
      <name val="Exo"/>
    </font>
    <font>
      <color theme="1"/>
      <name val="Exo"/>
    </font>
    <font>
      <b/>
      <color rgb="FFA2C4C9"/>
      <name val="Exo"/>
    </font>
    <font>
      <sz val="11.0"/>
      <color rgb="FF000000"/>
      <name val="Inconsolata"/>
    </font>
    <font>
      <sz val="9.0"/>
      <color theme="1"/>
      <name val="Exo"/>
    </font>
    <font>
      <color theme="1"/>
      <name val="Architects Daughter"/>
    </font>
    <font>
      <b/>
      <sz val="9.0"/>
      <color rgb="FF76A5AF"/>
      <name val="Exo"/>
    </font>
    <font>
      <sz val="11.0"/>
      <color rgb="FF666666"/>
      <name val="Exo"/>
    </font>
    <font>
      <sz val="14.0"/>
      <color rgb="FF999999"/>
      <name val="Exo"/>
    </font>
    <font>
      <b/>
      <sz val="12.0"/>
      <color rgb="FFCC4125"/>
      <name val="Exo"/>
    </font>
    <font>
      <b/>
      <sz val="14.0"/>
      <color rgb="FF76A5AF"/>
      <name val="Exo"/>
    </font>
    <font>
      <sz val="14.0"/>
      <color rgb="FF666666"/>
      <name val="Exo"/>
    </font>
    <font>
      <sz val="12.0"/>
      <color rgb="FF666666"/>
      <name val="Exo"/>
    </font>
    <font>
      <sz val="18.0"/>
      <color rgb="FF76A5AF"/>
      <name val="Exo"/>
    </font>
    <font>
      <sz val="18.0"/>
      <color rgb="FF666666"/>
      <name val="Exo"/>
    </font>
    <font>
      <sz val="7.0"/>
      <color rgb="FF666666"/>
      <name val="Exo"/>
    </font>
    <font>
      <sz val="15.0"/>
      <color rgb="FF999999"/>
      <name val="Exo"/>
    </font>
    <font>
      <b/>
      <sz val="24.0"/>
      <color rgb="FFEA9999"/>
      <name val="Arial"/>
      <scheme val="minor"/>
    </font>
    <font>
      <b/>
      <sz val="11.0"/>
      <color rgb="FF38B5BE"/>
      <name val="Exo"/>
    </font>
    <font>
      <b/>
      <sz val="12.0"/>
      <color rgb="FFA64D79"/>
      <name val="Exo"/>
    </font>
    <font>
      <u/>
      <sz val="14.0"/>
      <color rgb="FF1155CC"/>
      <name val="Exo"/>
    </font>
    <font>
      <b/>
      <sz val="12.0"/>
      <color rgb="FF93C47D"/>
      <name val="Exo"/>
    </font>
    <font>
      <b/>
      <sz val="12.0"/>
      <color theme="8"/>
      <name val="Exo"/>
    </font>
    <font>
      <color rgb="FF666666"/>
      <name val="Exo"/>
    </font>
    <font>
      <color theme="8"/>
      <name val="Arial"/>
      <scheme val="minor"/>
    </font>
    <font>
      <color theme="8"/>
      <name val="Exo"/>
    </font>
    <font>
      <b/>
      <sz val="12.0"/>
      <color theme="7"/>
      <name val="Exo"/>
    </font>
    <font>
      <b/>
      <color rgb="FF76A5AF"/>
      <name val="Exo"/>
    </font>
    <font>
      <b/>
      <color theme="7"/>
      <name val="Exo"/>
    </font>
    <font>
      <b/>
      <color theme="8"/>
      <name val="Exo"/>
    </font>
    <font>
      <sz val="8.0"/>
      <color theme="1"/>
      <name val="Arial"/>
    </font>
    <font>
      <b/>
      <color rgb="FF999999"/>
      <name val="Exo"/>
    </font>
    <font>
      <color rgb="FF999999"/>
      <name val="Exo"/>
    </font>
    <font>
      <b/>
      <color rgb="FF45818E"/>
      <name val="Exo"/>
    </font>
    <font>
      <color rgb="FF999999"/>
      <name val="Arial"/>
      <scheme val="minor"/>
    </font>
    <font>
      <sz val="11.0"/>
      <color rgb="FF999999"/>
      <name val="Inconsolata"/>
    </font>
    <font>
      <sz val="14.0"/>
      <color theme="1"/>
      <name val="Arial"/>
      <scheme val="minor"/>
    </font>
    <font>
      <sz val="14.0"/>
      <color theme="1"/>
      <name val="Exo"/>
    </font>
  </fonts>
  <fills count="14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76A5AF"/>
        <bgColor rgb="FF76A5AF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</fills>
  <borders count="50">
    <border/>
    <border>
      <bottom style="thick">
        <color rgb="FFFFFFFF"/>
      </bottom>
    </border>
    <border>
      <right style="hair">
        <color rgb="FF999999"/>
      </right>
    </border>
    <border>
      <left style="hair">
        <color rgb="FF999999"/>
      </left>
      <right style="hair">
        <color rgb="FF999999"/>
      </right>
    </border>
    <border>
      <left style="medium">
        <color rgb="FFFFD966"/>
      </left>
      <top style="medium">
        <color rgb="FFFFD966"/>
      </top>
    </border>
    <border>
      <right style="hair">
        <color rgb="FF999999"/>
      </right>
      <top style="medium">
        <color rgb="FFFFD966"/>
      </top>
    </border>
    <border>
      <top style="medium">
        <color rgb="FFFFD966"/>
      </top>
    </border>
    <border>
      <right style="medium">
        <color rgb="FFFFD966"/>
      </right>
      <top style="medium">
        <color rgb="FFFFD966"/>
      </top>
    </border>
    <border>
      <top style="hair">
        <color rgb="FF666666"/>
      </top>
    </border>
    <border>
      <left style="hair">
        <color rgb="FF999999"/>
      </left>
      <right style="hair">
        <color rgb="FF999999"/>
      </right>
      <top style="hair">
        <color rgb="FF666666"/>
      </top>
    </border>
    <border>
      <left style="hair">
        <color rgb="FF999999"/>
      </left>
      <right style="hair">
        <color rgb="FF666666"/>
      </right>
      <top style="hair">
        <color rgb="FF666666"/>
      </top>
    </border>
    <border>
      <left style="medium">
        <color rgb="FFFFD966"/>
      </left>
    </border>
    <border>
      <right style="medium">
        <color rgb="FFFFD966"/>
      </right>
    </border>
    <border>
      <top style="hair">
        <color rgb="FF999999"/>
      </top>
    </border>
    <border>
      <left style="hair">
        <color rgb="FF999999"/>
      </left>
      <right style="hair">
        <color rgb="FF666666"/>
      </right>
      <top style="hair">
        <color rgb="FF999999"/>
      </top>
    </border>
    <border>
      <left style="hair">
        <color rgb="FF999999"/>
      </left>
      <top style="hair">
        <color rgb="FF999999"/>
      </top>
    </border>
    <border>
      <right style="hair">
        <color rgb="FF999999"/>
      </right>
      <bottom style="medium">
        <color rgb="FFFFD966"/>
      </bottom>
    </border>
    <border>
      <bottom style="medium">
        <color rgb="FFFFD966"/>
      </bottom>
    </border>
    <border>
      <left style="hair">
        <color rgb="FF999999"/>
      </left>
      <right style="hair">
        <color rgb="FF999999"/>
      </right>
      <bottom style="medium">
        <color rgb="FFFFD966"/>
      </bottom>
    </border>
    <border>
      <left style="medium">
        <color rgb="FFFFD966"/>
      </left>
      <right style="hair">
        <color rgb="FF999999"/>
      </right>
    </border>
    <border>
      <left style="medium">
        <color rgb="FFFFD966"/>
      </left>
      <bottom style="medium">
        <color rgb="FFFFD966"/>
      </bottom>
    </border>
    <border>
      <right style="medium">
        <color rgb="FFFFD966"/>
      </right>
      <bottom style="medium">
        <color rgb="FFFFD966"/>
      </bottom>
    </border>
    <border>
      <bottom style="hair">
        <color rgb="FF666666"/>
      </bottom>
    </border>
    <border>
      <left style="hair">
        <color rgb="FF999999"/>
      </left>
      <right style="hair">
        <color rgb="FF999999"/>
      </right>
      <bottom style="hair">
        <color rgb="FF666666"/>
      </bottom>
    </border>
    <border>
      <top style="hair">
        <color rgb="FF999999"/>
      </top>
      <bottom style="hair">
        <color rgb="FF666666"/>
      </bottom>
    </border>
    <border>
      <left style="hair">
        <color rgb="FF999999"/>
      </left>
      <right style="hair">
        <color rgb="FF666666"/>
      </right>
      <top style="hair">
        <color rgb="FF999999"/>
      </top>
      <bottom style="hair">
        <color rgb="FF666666"/>
      </bottom>
    </border>
    <border>
      <left style="medium">
        <color rgb="FFFFD966"/>
      </left>
      <top style="medium">
        <color rgb="FFFFD966"/>
      </top>
      <bottom style="medium">
        <color rgb="FFFFD966"/>
      </bottom>
    </border>
    <border>
      <top style="medium">
        <color rgb="FFFFD966"/>
      </top>
      <bottom style="medium">
        <color rgb="FFFFD966"/>
      </bottom>
    </border>
    <border>
      <right style="medium">
        <color rgb="FFFFD966"/>
      </right>
      <top style="medium">
        <color rgb="FFFFD966"/>
      </top>
      <bottom style="medium">
        <color rgb="FFFFD966"/>
      </bottom>
    </border>
    <border>
      <right style="hair">
        <color rgb="FFB7B7B7"/>
      </right>
    </border>
    <border>
      <left style="medium">
        <color rgb="FFFBBC04"/>
      </left>
      <top style="medium">
        <color rgb="FFFBBC04"/>
      </top>
      <bottom style="medium">
        <color rgb="FFFBBC04"/>
      </bottom>
    </border>
    <border>
      <top style="medium">
        <color rgb="FFFBBC04"/>
      </top>
      <bottom style="medium">
        <color rgb="FFFBBC04"/>
      </bottom>
    </border>
    <border>
      <right style="medium">
        <color rgb="FFFBBC04"/>
      </right>
      <top style="medium">
        <color rgb="FFFBBC04"/>
      </top>
      <bottom style="medium">
        <color rgb="FFFBBC04"/>
      </bottom>
    </border>
    <border>
      <left style="medium">
        <color rgb="FFFFD966"/>
      </left>
      <right style="hair">
        <color rgb="FF999999"/>
      </right>
      <bottom style="medium">
        <color rgb="FFFFD966"/>
      </bottom>
    </border>
    <border>
      <left style="medium">
        <color rgb="FFFFD966"/>
      </left>
      <right style="medium">
        <color rgb="FFFFD966"/>
      </right>
      <top style="medium">
        <color rgb="FFFFD966"/>
      </top>
    </border>
    <border>
      <right style="hair">
        <color rgb="FFB7B7B7"/>
      </right>
      <top style="hair">
        <color rgb="FFB7B7B7"/>
      </top>
    </border>
    <border>
      <left style="medium">
        <color rgb="FFFFD966"/>
      </left>
      <right style="medium">
        <color rgb="FFFFD966"/>
      </right>
    </border>
    <border>
      <top style="hair">
        <color rgb="FFB7B7B7"/>
      </top>
    </border>
    <border>
      <bottom style="hair">
        <color rgb="FF999999"/>
      </bottom>
    </border>
    <border>
      <left style="medium">
        <color rgb="FFFFD966"/>
      </left>
      <right style="medium">
        <color rgb="FFFFD966"/>
      </right>
      <bottom style="medium">
        <color rgb="FFFFD966"/>
      </bottom>
    </border>
    <border>
      <bottom style="thin">
        <color rgb="FF000000"/>
      </bottom>
    </border>
    <border>
      <bottom style="thin">
        <color rgb="FFFBBC0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hair">
        <color rgb="FFB7B7B7"/>
      </bottom>
    </border>
    <border>
      <left style="hair">
        <color rgb="FFB7B7B7"/>
      </left>
      <bottom style="hair">
        <color rgb="FF999999"/>
      </bottom>
    </border>
    <border>
      <left style="hair">
        <color rgb="FF999999"/>
      </left>
    </border>
    <border>
      <left style="hair">
        <color rgb="FFB7B7B7"/>
      </left>
    </border>
    <border>
      <top style="medium">
        <color rgb="FFFFD966"/>
      </top>
      <bottom style="hair">
        <color rgb="FFB7B7B7"/>
      </bottom>
    </border>
    <border>
      <top style="medium">
        <color rgb="FFFFD966"/>
      </top>
      <bottom style="hair">
        <color rgb="FF999999"/>
      </bottom>
    </border>
    <border>
      <top style="thick">
        <color rgb="FFFBBC04"/>
      </top>
      <bottom style="thick">
        <color rgb="FF666666"/>
      </bottom>
    </border>
  </borders>
  <cellStyleXfs count="1">
    <xf borderId="0" fillId="0" fontId="0" numFmtId="0" applyAlignment="1" applyFont="1"/>
  </cellStyleXfs>
  <cellXfs count="29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1" fillId="0" fontId="2" numFmtId="0" xfId="0" applyBorder="1" applyFont="1"/>
    <xf borderId="0" fillId="3" fontId="1" numFmtId="164" xfId="0" applyAlignment="1" applyFill="1" applyFont="1" applyNumberFormat="1">
      <alignment horizontal="center" readingOrder="0" vertical="center"/>
    </xf>
    <xf borderId="0" fillId="3" fontId="1" numFmtId="164" xfId="0" applyAlignment="1" applyFont="1" applyNumberForma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3" fontId="5" numFmtId="0" xfId="0" applyFont="1"/>
    <xf borderId="0" fillId="5" fontId="5" numFmtId="0" xfId="0" applyFill="1" applyFont="1"/>
    <xf borderId="0" fillId="3" fontId="6" numFmtId="0" xfId="0" applyAlignment="1" applyFont="1">
      <alignment horizontal="center" readingOrder="0" shrinkToFit="0" vertical="center" wrapText="1"/>
    </xf>
    <xf borderId="2" fillId="0" fontId="2" numFmtId="0" xfId="0" applyBorder="1" applyFont="1"/>
    <xf borderId="0" fillId="0" fontId="4" numFmtId="166" xfId="0" applyAlignment="1" applyFont="1" applyNumberFormat="1">
      <alignment horizontal="center" readingOrder="0" vertical="center"/>
    </xf>
    <xf borderId="0" fillId="3" fontId="6" numFmtId="166" xfId="0" applyAlignment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6" xfId="0" applyAlignment="1" applyFont="1" applyNumberForma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3" fontId="8" numFmtId="3" xfId="0" applyAlignment="1" applyBorder="1" applyFont="1" applyNumberFormat="1">
      <alignment horizontal="center" readingOrder="0" vertical="center"/>
    </xf>
    <xf borderId="7" fillId="3" fontId="8" numFmtId="166" xfId="0" applyAlignment="1" applyBorder="1" applyFont="1" applyNumberFormat="1">
      <alignment horizontal="center" readingOrder="0" vertical="center"/>
    </xf>
    <xf borderId="8" fillId="3" fontId="8" numFmtId="166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0" fillId="5" fontId="9" numFmtId="0" xfId="0" applyAlignment="1" applyFont="1">
      <alignment horizontal="center" readingOrder="0" vertical="center"/>
    </xf>
    <xf borderId="9" fillId="3" fontId="8" numFmtId="10" xfId="0" applyAlignment="1" applyBorder="1" applyFont="1" applyNumberFormat="1">
      <alignment horizontal="center" vertical="center"/>
    </xf>
    <xf borderId="8" fillId="3" fontId="8" numFmtId="164" xfId="0" applyAlignment="1" applyBorder="1" applyFont="1" applyNumberFormat="1">
      <alignment horizontal="center" vertical="center"/>
    </xf>
    <xf borderId="9" fillId="3" fontId="8" numFmtId="166" xfId="0" applyAlignment="1" applyBorder="1" applyFont="1" applyNumberFormat="1">
      <alignment horizontal="center" vertical="center"/>
    </xf>
    <xf borderId="8" fillId="3" fontId="10" numFmtId="0" xfId="0" applyAlignment="1" applyBorder="1" applyFont="1">
      <alignment horizontal="center" vertical="center"/>
    </xf>
    <xf borderId="8" fillId="0" fontId="2" numFmtId="0" xfId="0" applyBorder="1" applyFont="1"/>
    <xf borderId="10" fillId="3" fontId="8" numFmtId="10" xfId="0" applyAlignment="1" applyBorder="1" applyFont="1" applyNumberFormat="1">
      <alignment horizontal="center" vertical="center"/>
    </xf>
    <xf borderId="11" fillId="3" fontId="7" numFmtId="0" xfId="0" applyAlignment="1" applyBorder="1" applyFont="1">
      <alignment horizontal="center" readingOrder="0" vertical="center"/>
    </xf>
    <xf borderId="0" fillId="3" fontId="8" numFmtId="3" xfId="0" applyAlignment="1" applyFont="1" applyNumberFormat="1">
      <alignment horizontal="center" readingOrder="0" vertical="center"/>
    </xf>
    <xf borderId="12" fillId="3" fontId="8" numFmtId="166" xfId="0" applyAlignment="1" applyBorder="1" applyFont="1" applyNumberFormat="1">
      <alignment horizontal="center" readingOrder="0" vertical="center"/>
    </xf>
    <xf borderId="0" fillId="3" fontId="8" numFmtId="166" xfId="0" applyAlignment="1" applyFont="1" applyNumberFormat="1">
      <alignment horizontal="center" readingOrder="0" vertical="center"/>
    </xf>
    <xf borderId="3" fillId="3" fontId="8" numFmtId="10" xfId="0" applyAlignment="1" applyBorder="1" applyFont="1" applyNumberFormat="1">
      <alignment horizontal="center" vertical="center"/>
    </xf>
    <xf borderId="0" fillId="3" fontId="8" numFmtId="164" xfId="0" applyAlignment="1" applyFont="1" applyNumberFormat="1">
      <alignment horizontal="center" vertical="center"/>
    </xf>
    <xf borderId="3" fillId="3" fontId="8" numFmtId="166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4" fillId="0" fontId="4" numFmtId="165" xfId="0" applyAlignment="1" applyBorder="1" applyFont="1" applyNumberForma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6" fillId="0" fontId="4" numFmtId="164" xfId="0" applyAlignment="1" applyBorder="1" applyFont="1" applyNumberFormat="1">
      <alignment horizontal="center" readingOrder="0" vertical="center"/>
    </xf>
    <xf borderId="13" fillId="3" fontId="10" numFmtId="0" xfId="0" applyAlignment="1" applyBorder="1" applyFont="1">
      <alignment horizontal="center" vertical="center"/>
    </xf>
    <xf borderId="13" fillId="0" fontId="2" numFmtId="0" xfId="0" applyBorder="1" applyFont="1"/>
    <xf borderId="7" fillId="0" fontId="4" numFmtId="164" xfId="0" applyAlignment="1" applyBorder="1" applyFont="1" applyNumberFormat="1">
      <alignment horizontal="center" readingOrder="0" vertical="center"/>
    </xf>
    <xf borderId="0" fillId="7" fontId="12" numFmtId="0" xfId="0" applyAlignment="1" applyFill="1" applyFont="1">
      <alignment horizontal="center" readingOrder="0" vertical="center"/>
    </xf>
    <xf borderId="11" fillId="0" fontId="4" numFmtId="165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14" fillId="3" fontId="8" numFmtId="10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12" fillId="0" fontId="4" numFmtId="164" xfId="0" applyAlignment="1" applyBorder="1" applyFont="1" applyNumberFormat="1">
      <alignment horizontal="center" readingOrder="0" vertical="center"/>
    </xf>
    <xf borderId="0" fillId="3" fontId="8" numFmtId="3" xfId="0" applyAlignment="1" applyFont="1" applyNumberFormat="1">
      <alignment horizontal="center" vertical="center"/>
    </xf>
    <xf borderId="13" fillId="0" fontId="8" numFmtId="166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/>
    </xf>
    <xf borderId="13" fillId="0" fontId="8" numFmtId="167" xfId="0" applyAlignment="1" applyBorder="1" applyFont="1" applyNumberFormat="1">
      <alignment horizontal="right" readingOrder="0" vertical="center"/>
    </xf>
    <xf borderId="15" fillId="0" fontId="8" numFmtId="166" xfId="0" applyAlignment="1" applyBorder="1" applyFont="1" applyNumberFormat="1">
      <alignment horizontal="right" readingOrder="0" vertical="center"/>
    </xf>
    <xf borderId="15" fillId="0" fontId="8" numFmtId="167" xfId="0" applyAlignment="1" applyBorder="1" applyFont="1" applyNumberFormat="1">
      <alignment horizontal="right" readingOrder="0" vertical="center"/>
    </xf>
    <xf borderId="16" fillId="0" fontId="8" numFmtId="0" xfId="0" applyAlignment="1" applyBorder="1" applyFont="1">
      <alignment horizontal="right" readingOrder="0" shrinkToFit="0" vertical="center" wrapText="1"/>
    </xf>
    <xf borderId="17" fillId="0" fontId="8" numFmtId="0" xfId="0" applyAlignment="1" applyBorder="1" applyFont="1">
      <alignment horizontal="center" readingOrder="0" shrinkToFit="0" vertical="center" wrapText="1"/>
    </xf>
    <xf borderId="17" fillId="0" fontId="8" numFmtId="166" xfId="0" applyAlignment="1" applyBorder="1" applyFont="1" applyNumberFormat="1">
      <alignment horizontal="center" readingOrder="0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9" fillId="0" fontId="8" numFmtId="0" xfId="0" applyAlignment="1" applyBorder="1" applyFont="1">
      <alignment horizontal="right" readingOrder="0"/>
    </xf>
    <xf borderId="0" fillId="0" fontId="8" numFmtId="0" xfId="0" applyAlignment="1" applyFont="1">
      <alignment horizontal="center" readingOrder="0"/>
    </xf>
    <xf borderId="0" fillId="0" fontId="8" numFmtId="166" xfId="0" applyAlignment="1" applyFont="1" applyNumberFormat="1">
      <alignment horizontal="center" readingOrder="0"/>
    </xf>
    <xf borderId="3" fillId="0" fontId="8" numFmtId="166" xfId="0" applyAlignment="1" applyBorder="1" applyFont="1" applyNumberFormat="1">
      <alignment horizontal="center" readingOrder="0"/>
    </xf>
    <xf borderId="0" fillId="0" fontId="8" numFmtId="10" xfId="0" applyAlignment="1" applyFont="1" applyNumberFormat="1">
      <alignment horizontal="center" readingOrder="0"/>
    </xf>
    <xf borderId="0" fillId="0" fontId="8" numFmtId="166" xfId="0" applyAlignment="1" applyFont="1" applyNumberFormat="1">
      <alignment horizontal="center"/>
    </xf>
    <xf borderId="20" fillId="3" fontId="7" numFmtId="0" xfId="0" applyAlignment="1" applyBorder="1" applyFont="1">
      <alignment horizontal="center" readingOrder="0" vertical="center"/>
    </xf>
    <xf borderId="16" fillId="0" fontId="2" numFmtId="0" xfId="0" applyBorder="1" applyFont="1"/>
    <xf borderId="17" fillId="3" fontId="8" numFmtId="3" xfId="0" applyAlignment="1" applyBorder="1" applyFont="1" applyNumberFormat="1">
      <alignment horizontal="center" vertical="center"/>
    </xf>
    <xf borderId="21" fillId="3" fontId="8" numFmtId="166" xfId="0" applyAlignment="1" applyBorder="1" applyFont="1" applyNumberFormat="1">
      <alignment horizontal="center" readingOrder="0" vertical="center"/>
    </xf>
    <xf borderId="22" fillId="3" fontId="8" numFmtId="166" xfId="0" applyAlignment="1" applyBorder="1" applyFont="1" applyNumberFormat="1">
      <alignment horizontal="center" readingOrder="0" vertical="center"/>
    </xf>
    <xf borderId="23" fillId="3" fontId="8" numFmtId="10" xfId="0" applyAlignment="1" applyBorder="1" applyFont="1" applyNumberFormat="1">
      <alignment horizontal="center" vertical="center"/>
    </xf>
    <xf borderId="22" fillId="3" fontId="8" numFmtId="164" xfId="0" applyAlignment="1" applyBorder="1" applyFont="1" applyNumberFormat="1">
      <alignment horizontal="center" vertical="center"/>
    </xf>
    <xf borderId="23" fillId="3" fontId="8" numFmtId="166" xfId="0" applyAlignment="1" applyBorder="1" applyFont="1" applyNumberFormat="1">
      <alignment horizontal="center" vertical="center"/>
    </xf>
    <xf borderId="12" fillId="0" fontId="8" numFmtId="167" xfId="0" applyAlignment="1" applyBorder="1" applyFont="1" applyNumberFormat="1">
      <alignment horizontal="center"/>
    </xf>
    <xf borderId="24" fillId="3" fontId="10" numFmtId="0" xfId="0" applyAlignment="1" applyBorder="1" applyFont="1">
      <alignment horizontal="center" vertical="center"/>
    </xf>
    <xf borderId="24" fillId="0" fontId="2" numFmtId="0" xfId="0" applyBorder="1" applyFont="1"/>
    <xf borderId="25" fillId="3" fontId="8" numFmtId="10" xfId="0" applyAlignment="1" applyBorder="1" applyFont="1" applyNumberFormat="1">
      <alignment horizontal="center" vertical="center"/>
    </xf>
    <xf borderId="0" fillId="0" fontId="8" numFmtId="167" xfId="0" applyAlignment="1" applyFont="1" applyNumberFormat="1">
      <alignment horizontal="center"/>
    </xf>
    <xf borderId="0" fillId="0" fontId="5" numFmtId="0" xfId="0" applyFont="1"/>
    <xf borderId="19" fillId="0" fontId="8" numFmtId="0" xfId="0" applyAlignment="1" applyBorder="1" applyFont="1">
      <alignment horizontal="right"/>
    </xf>
    <xf borderId="0" fillId="0" fontId="8" numFmtId="0" xfId="0" applyAlignment="1" applyFont="1">
      <alignment horizontal="center"/>
    </xf>
    <xf borderId="3" fillId="0" fontId="8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4" numFmtId="10" xfId="0" applyAlignment="1" applyFont="1" applyNumberFormat="1">
      <alignment readingOrder="0"/>
    </xf>
    <xf borderId="0" fillId="8" fontId="3" numFmtId="0" xfId="0" applyAlignment="1" applyFill="1" applyFont="1">
      <alignment horizontal="center" readingOrder="0" vertical="center"/>
    </xf>
    <xf borderId="26" fillId="5" fontId="15" numFmtId="0" xfId="0" applyAlignment="1" applyBorder="1" applyFont="1">
      <alignment horizontal="right" vertical="center"/>
    </xf>
    <xf borderId="27" fillId="0" fontId="2" numFmtId="0" xfId="0" applyBorder="1" applyFont="1"/>
    <xf borderId="0" fillId="5" fontId="5" numFmtId="0" xfId="0" applyAlignment="1" applyFont="1">
      <alignment vertical="center"/>
    </xf>
    <xf borderId="26" fillId="5" fontId="14" numFmtId="166" xfId="0" applyAlignment="1" applyBorder="1" applyFont="1" applyNumberFormat="1">
      <alignment horizontal="left" readingOrder="0"/>
    </xf>
    <xf borderId="28" fillId="0" fontId="2" numFmtId="0" xfId="0" applyBorder="1" applyFont="1"/>
    <xf borderId="0" fillId="5" fontId="5" numFmtId="0" xfId="0" applyAlignment="1" applyFont="1">
      <alignment horizontal="center" vertical="center"/>
    </xf>
    <xf borderId="0" fillId="5" fontId="15" numFmtId="0" xfId="0" applyAlignment="1" applyFont="1">
      <alignment horizontal="right" vertical="center"/>
    </xf>
    <xf borderId="11" fillId="0" fontId="14" numFmtId="10" xfId="0" applyAlignment="1" applyBorder="1" applyFont="1" applyNumberFormat="1">
      <alignment horizontal="left" readingOrder="0"/>
    </xf>
    <xf borderId="12" fillId="0" fontId="2" numFmtId="0" xfId="0" applyBorder="1" applyFont="1"/>
    <xf borderId="0" fillId="5" fontId="15" numFmtId="0" xfId="0" applyAlignment="1" applyFont="1">
      <alignment horizontal="right" readingOrder="0" vertical="center"/>
    </xf>
    <xf borderId="11" fillId="0" fontId="14" numFmtId="4" xfId="0" applyAlignment="1" applyBorder="1" applyFont="1" applyNumberFormat="1">
      <alignment horizontal="left" readingOrder="0"/>
    </xf>
    <xf borderId="29" fillId="5" fontId="16" numFmtId="0" xfId="0" applyAlignment="1" applyBorder="1" applyFont="1">
      <alignment vertical="center"/>
    </xf>
    <xf borderId="20" fillId="0" fontId="14" numFmtId="4" xfId="0" applyAlignment="1" applyBorder="1" applyFont="1" applyNumberFormat="1">
      <alignment horizontal="left" readingOrder="0"/>
    </xf>
    <xf borderId="21" fillId="0" fontId="2" numFmtId="0" xfId="0" applyBorder="1" applyFont="1"/>
    <xf borderId="20" fillId="0" fontId="4" numFmtId="165" xfId="0" applyAlignment="1" applyBorder="1" applyFont="1" applyNumberFormat="1">
      <alignment horizontal="center" readingOrder="0" vertical="center"/>
    </xf>
    <xf borderId="0" fillId="5" fontId="14" numFmtId="0" xfId="0" applyAlignment="1" applyFont="1">
      <alignment horizontal="center" readingOrder="0"/>
    </xf>
    <xf borderId="17" fillId="0" fontId="4" numFmtId="164" xfId="0" applyAlignment="1" applyBorder="1" applyFont="1" applyNumberFormat="1">
      <alignment horizontal="center" readingOrder="0" vertical="center"/>
    </xf>
    <xf borderId="0" fillId="5" fontId="17" numFmtId="168" xfId="0" applyAlignment="1" applyFont="1" applyNumberFormat="1">
      <alignment horizontal="right"/>
    </xf>
    <xf borderId="21" fillId="0" fontId="4" numFmtId="164" xfId="0" applyAlignment="1" applyBorder="1" applyFont="1" applyNumberFormat="1">
      <alignment horizontal="center" readingOrder="0" vertical="center"/>
    </xf>
    <xf borderId="30" fillId="5" fontId="14" numFmtId="0" xfId="0" applyAlignment="1" applyBorder="1" applyFont="1">
      <alignment horizontal="center" readingOrder="0"/>
    </xf>
    <xf borderId="31" fillId="5" fontId="14" numFmtId="0" xfId="0" applyAlignment="1" applyBorder="1" applyFont="1">
      <alignment horizontal="center" readingOrder="0"/>
    </xf>
    <xf borderId="32" fillId="5" fontId="14" numFmtId="0" xfId="0" applyAlignment="1" applyBorder="1" applyFont="1">
      <alignment horizontal="center" readingOrder="0"/>
    </xf>
    <xf borderId="0" fillId="5" fontId="17" numFmtId="168" xfId="0" applyAlignment="1" applyFont="1" applyNumberFormat="1">
      <alignment horizontal="right" readingOrder="0"/>
    </xf>
    <xf borderId="0" fillId="0" fontId="14" numFmtId="166" xfId="0" applyFont="1" applyNumberFormat="1"/>
    <xf borderId="0" fillId="5" fontId="17" numFmtId="0" xfId="0" applyAlignment="1" applyFont="1">
      <alignment horizontal="right"/>
    </xf>
    <xf borderId="0" fillId="5" fontId="18" numFmtId="0" xfId="0" applyAlignment="1" applyFont="1">
      <alignment vertical="center"/>
    </xf>
    <xf borderId="29" fillId="0" fontId="2" numFmtId="0" xfId="0" applyBorder="1" applyFont="1"/>
    <xf borderId="0" fillId="5" fontId="17" numFmtId="10" xfId="0" applyAlignment="1" applyFont="1" applyNumberFormat="1">
      <alignment horizontal="right" readingOrder="0"/>
    </xf>
    <xf borderId="0" fillId="9" fontId="3" numFmtId="164" xfId="0" applyAlignment="1" applyFill="1" applyFont="1" applyNumberFormat="1">
      <alignment horizontal="center" readingOrder="0" vertical="center"/>
    </xf>
    <xf borderId="0" fillId="0" fontId="6" numFmtId="169" xfId="0" applyAlignment="1" applyFont="1" applyNumberFormat="1">
      <alignment horizontal="center" readingOrder="0" vertical="center"/>
    </xf>
    <xf borderId="0" fillId="3" fontId="1" numFmtId="164" xfId="0" applyAlignment="1" applyFont="1" applyNumberFormat="1">
      <alignment horizontal="left" readingOrder="0" vertical="center"/>
    </xf>
    <xf borderId="33" fillId="0" fontId="8" numFmtId="0" xfId="0" applyAlignment="1" applyBorder="1" applyFont="1">
      <alignment horizontal="right"/>
    </xf>
    <xf borderId="17" fillId="0" fontId="8" numFmtId="0" xfId="0" applyAlignment="1" applyBorder="1" applyFont="1">
      <alignment horizontal="center"/>
    </xf>
    <xf borderId="17" fillId="0" fontId="8" numFmtId="166" xfId="0" applyAlignment="1" applyBorder="1" applyFont="1" applyNumberFormat="1">
      <alignment horizontal="center"/>
    </xf>
    <xf borderId="18" fillId="0" fontId="8" numFmtId="0" xfId="0" applyAlignment="1" applyBorder="1" applyFont="1">
      <alignment horizontal="center"/>
    </xf>
    <xf borderId="0" fillId="3" fontId="6" numFmtId="164" xfId="0" applyAlignment="1" applyFont="1" applyNumberFormat="1">
      <alignment horizontal="center" readingOrder="0" vertical="center"/>
    </xf>
    <xf borderId="29" fillId="5" fontId="19" numFmtId="0" xfId="0" applyAlignment="1" applyBorder="1" applyFont="1">
      <alignment horizontal="center" readingOrder="0" vertical="center"/>
    </xf>
    <xf borderId="21" fillId="0" fontId="8" numFmtId="167" xfId="0" applyAlignment="1" applyBorder="1" applyFont="1" applyNumberFormat="1">
      <alignment horizontal="center"/>
    </xf>
    <xf borderId="0" fillId="3" fontId="6" numFmtId="164" xfId="0" applyAlignment="1" applyFont="1" applyNumberFormat="1">
      <alignment horizontal="left" readingOrder="0" vertical="center"/>
    </xf>
    <xf borderId="0" fillId="5" fontId="19" numFmtId="0" xfId="0" applyAlignment="1" applyFont="1">
      <alignment horizontal="center" readingOrder="0" vertical="center"/>
    </xf>
    <xf borderId="0" fillId="3" fontId="6" numFmtId="164" xfId="0" applyAlignment="1" applyFont="1" applyNumberFormat="1">
      <alignment horizontal="center" readingOrder="0" vertical="center"/>
    </xf>
    <xf borderId="0" fillId="3" fontId="20" numFmtId="164" xfId="0" applyAlignment="1" applyFont="1" applyNumberFormat="1">
      <alignment horizontal="center" readingOrder="0" vertical="center"/>
    </xf>
    <xf borderId="34" fillId="5" fontId="20" numFmtId="169" xfId="0" applyAlignment="1" applyBorder="1" applyFont="1" applyNumberFormat="1">
      <alignment horizontal="center" readingOrder="0" vertical="center"/>
    </xf>
    <xf borderId="0" fillId="3" fontId="20" numFmtId="169" xfId="0" applyAlignment="1" applyFont="1" applyNumberFormat="1">
      <alignment horizontal="left" readingOrder="0" vertical="center"/>
    </xf>
    <xf borderId="35" fillId="5" fontId="21" numFmtId="166" xfId="0" applyAlignment="1" applyBorder="1" applyFont="1" applyNumberFormat="1">
      <alignment horizontal="center" vertical="center"/>
    </xf>
    <xf borderId="36" fillId="5" fontId="20" numFmtId="164" xfId="0" applyAlignment="1" applyBorder="1" applyFont="1" applyNumberFormat="1">
      <alignment horizontal="center" readingOrder="0" vertical="center"/>
    </xf>
    <xf borderId="37" fillId="5" fontId="21" numFmtId="166" xfId="0" applyAlignment="1" applyBorder="1" applyFont="1" applyNumberFormat="1">
      <alignment horizontal="center" vertical="center"/>
    </xf>
    <xf borderId="0" fillId="3" fontId="20" numFmtId="164" xfId="0" applyAlignment="1" applyFont="1" applyNumberFormat="1">
      <alignment horizontal="left" readingOrder="0" vertical="center"/>
    </xf>
    <xf borderId="0" fillId="3" fontId="1" numFmtId="0" xfId="0" applyAlignment="1" applyFont="1">
      <alignment horizontal="center" readingOrder="0" vertical="center"/>
    </xf>
    <xf borderId="0" fillId="10" fontId="3" numFmtId="0" xfId="0" applyAlignment="1" applyFill="1" applyFont="1">
      <alignment horizontal="center" readingOrder="0" vertical="center"/>
    </xf>
    <xf borderId="38" fillId="3" fontId="20" numFmtId="164" xfId="0" applyAlignment="1" applyBorder="1" applyFont="1" applyNumberFormat="1">
      <alignment horizontal="center" readingOrder="0" vertical="center"/>
    </xf>
    <xf borderId="39" fillId="5" fontId="20" numFmtId="164" xfId="0" applyAlignment="1" applyBorder="1" applyFont="1" applyNumberFormat="1">
      <alignment horizontal="center" readingOrder="0" vertical="center"/>
    </xf>
    <xf borderId="0" fillId="0" fontId="14" numFmtId="164" xfId="0" applyAlignment="1" applyFont="1" applyNumberFormat="1">
      <alignment horizontal="center" readingOrder="0" shrinkToFit="0" wrapText="1"/>
    </xf>
    <xf borderId="0" fillId="0" fontId="6" numFmtId="0" xfId="0" applyFont="1"/>
    <xf borderId="0" fillId="0" fontId="22" numFmtId="164" xfId="0" applyAlignment="1" applyFont="1" applyNumberFormat="1">
      <alignment horizontal="center" readingOrder="0"/>
    </xf>
    <xf borderId="0" fillId="5" fontId="23" numFmtId="0" xfId="0" applyAlignment="1" applyFont="1">
      <alignment horizontal="right" readingOrder="0" vertical="center"/>
    </xf>
    <xf borderId="0" fillId="0" fontId="6" numFmtId="0" xfId="0" applyAlignment="1" applyFont="1">
      <alignment horizontal="left"/>
    </xf>
    <xf borderId="0" fillId="5" fontId="24" numFmtId="166" xfId="0" applyAlignment="1" applyFont="1" applyNumberFormat="1">
      <alignment horizontal="left" vertical="center"/>
    </xf>
    <xf borderId="0" fillId="3" fontId="25" numFmtId="164" xfId="0" applyAlignment="1" applyFont="1" applyNumberFormat="1">
      <alignment horizontal="right" readingOrder="0" vertical="center"/>
    </xf>
    <xf borderId="0" fillId="5" fontId="26" numFmtId="0" xfId="0" applyAlignment="1" applyFont="1">
      <alignment horizontal="right" readingOrder="0" vertical="center"/>
    </xf>
    <xf borderId="26" fillId="0" fontId="14" numFmtId="166" xfId="0" applyAlignment="1" applyBorder="1" applyFont="1" applyNumberFormat="1">
      <alignment horizontal="center" readingOrder="0"/>
    </xf>
    <xf borderId="0" fillId="5" fontId="27" numFmtId="166" xfId="0" applyAlignment="1" applyFont="1" applyNumberFormat="1">
      <alignment horizontal="left" vertical="center"/>
    </xf>
    <xf borderId="0" fillId="3" fontId="25" numFmtId="164" xfId="0" applyAlignment="1" applyFont="1" applyNumberFormat="1">
      <alignment horizontal="left" readingOrder="0" vertical="center"/>
    </xf>
    <xf borderId="40" fillId="0" fontId="22" numFmtId="164" xfId="0" applyAlignment="1" applyBorder="1" applyFont="1" applyNumberFormat="1">
      <alignment horizontal="center" readingOrder="0"/>
    </xf>
    <xf borderId="40" fillId="0" fontId="2" numFmtId="0" xfId="0" applyBorder="1" applyFont="1"/>
    <xf borderId="0" fillId="0" fontId="28" numFmtId="0" xfId="0" applyAlignment="1" applyFont="1">
      <alignment horizontal="right" readingOrder="0" vertical="top"/>
    </xf>
    <xf borderId="0" fillId="0" fontId="28" numFmtId="1" xfId="0" applyAlignment="1" applyFont="1" applyNumberFormat="1">
      <alignment horizontal="left" vertical="top"/>
    </xf>
    <xf borderId="0" fillId="0" fontId="14" numFmtId="10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14" numFmtId="164" xfId="0" applyAlignment="1" applyFont="1" applyNumberFormat="1">
      <alignment horizontal="center"/>
    </xf>
    <xf borderId="0" fillId="5" fontId="29" numFmtId="166" xfId="0" applyAlignment="1" applyFont="1" applyNumberFormat="1">
      <alignment horizontal="center" shrinkToFit="0" vertical="center" wrapText="1"/>
    </xf>
    <xf borderId="0" fillId="0" fontId="30" numFmtId="0" xfId="0" applyAlignment="1" applyFont="1">
      <alignment horizontal="right"/>
    </xf>
    <xf borderId="0" fillId="0" fontId="6" numFmtId="0" xfId="0" applyAlignment="1" applyFont="1">
      <alignment readingOrder="0"/>
    </xf>
    <xf borderId="0" fillId="0" fontId="14" numFmtId="0" xfId="0" applyAlignment="1" applyFont="1">
      <alignment horizontal="center" readingOrder="0" shrinkToFit="0" wrapText="1"/>
    </xf>
    <xf borderId="0" fillId="3" fontId="5" numFmtId="0" xfId="0" applyAlignment="1" applyFont="1">
      <alignment vertical="center"/>
    </xf>
    <xf borderId="0" fillId="0" fontId="30" numFmtId="0" xfId="0" applyAlignment="1" applyFont="1">
      <alignment horizontal="left"/>
    </xf>
    <xf borderId="0" fillId="3" fontId="5" numFmtId="0" xfId="0" applyAlignment="1" applyFont="1">
      <alignment horizontal="center" vertical="center"/>
    </xf>
    <xf borderId="0" fillId="11" fontId="5" numFmtId="0" xfId="0" applyAlignment="1" applyFill="1" applyFont="1">
      <alignment vertical="center"/>
    </xf>
    <xf borderId="0" fillId="0" fontId="31" numFmtId="0" xfId="0" applyAlignment="1" applyFont="1">
      <alignment horizontal="center" readingOrder="0" shrinkToFit="0" vertical="center" wrapText="1"/>
    </xf>
    <xf borderId="41" fillId="11" fontId="5" numFmtId="0" xfId="0" applyAlignment="1" applyBorder="1" applyFont="1">
      <alignment vertical="center"/>
    </xf>
    <xf borderId="4" fillId="0" fontId="6" numFmtId="0" xfId="0" applyAlignment="1" applyBorder="1" applyFont="1">
      <alignment horizontal="center" readingOrder="0" vertical="center"/>
    </xf>
    <xf borderId="6" fillId="0" fontId="6" numFmtId="169" xfId="0" applyAlignment="1" applyBorder="1" applyFont="1" applyNumberFormat="1">
      <alignment horizontal="center" readingOrder="0" vertical="center"/>
    </xf>
    <xf borderId="41" fillId="11" fontId="5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shrinkToFit="0" vertical="center" wrapText="1"/>
    </xf>
    <xf borderId="0" fillId="5" fontId="5" numFmtId="0" xfId="0" applyAlignment="1" applyFont="1">
      <alignment readingOrder="0" vertical="center"/>
    </xf>
    <xf borderId="7" fillId="0" fontId="2" numFmtId="0" xfId="0" applyBorder="1" applyFont="1"/>
    <xf borderId="0" fillId="5" fontId="25" numFmtId="166" xfId="0" applyAlignment="1" applyFont="1" applyNumberFormat="1">
      <alignment horizontal="center" vertical="center"/>
    </xf>
    <xf borderId="11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  <xf borderId="1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10" fontId="1" numFmtId="0" xfId="0" applyAlignment="1" applyFont="1">
      <alignment horizontal="center" readingOrder="0" vertical="center"/>
    </xf>
    <xf borderId="0" fillId="0" fontId="32" numFmtId="164" xfId="0" applyAlignment="1" applyFont="1" applyNumberFormat="1">
      <alignment horizontal="center" readingOrder="0"/>
    </xf>
    <xf borderId="26" fillId="0" fontId="14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33" numFmtId="0" xfId="0" applyAlignment="1" applyFont="1">
      <alignment horizontal="center" readingOrder="0" vertical="center"/>
    </xf>
    <xf borderId="42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vertical="bottom"/>
    </xf>
    <xf borderId="26" fillId="12" fontId="25" numFmtId="166" xfId="0" applyAlignment="1" applyBorder="1" applyFill="1" applyFont="1" applyNumberFormat="1">
      <alignment horizontal="center" readingOrder="0" vertical="center"/>
    </xf>
    <xf borderId="0" fillId="0" fontId="5" numFmtId="166" xfId="0" applyFont="1" applyNumberFormat="1"/>
    <xf borderId="26" fillId="0" fontId="14" numFmtId="164" xfId="0" applyAlignment="1" applyBorder="1" applyFont="1" applyNumberFormat="1">
      <alignment horizontal="center"/>
    </xf>
    <xf borderId="0" fillId="0" fontId="10" numFmtId="0" xfId="0" applyAlignment="1" applyFont="1">
      <alignment vertical="bottom"/>
    </xf>
    <xf borderId="0" fillId="5" fontId="34" numFmtId="0" xfId="0" applyAlignment="1" applyFont="1">
      <alignment horizontal="right" readingOrder="0" vertical="center"/>
    </xf>
    <xf borderId="43" fillId="5" fontId="35" numFmtId="166" xfId="0" applyAlignment="1" applyBorder="1" applyFont="1" applyNumberFormat="1">
      <alignment horizontal="right" readingOrder="0" vertical="center"/>
    </xf>
    <xf borderId="43" fillId="5" fontId="35" numFmtId="0" xfId="0" applyAlignment="1" applyBorder="1" applyFont="1">
      <alignment horizontal="left" readingOrder="0" vertical="center"/>
    </xf>
    <xf borderId="44" fillId="5" fontId="36" numFmtId="166" xfId="0" applyAlignment="1" applyBorder="1" applyFont="1" applyNumberFormat="1">
      <alignment horizontal="center" vertical="center"/>
    </xf>
    <xf borderId="38" fillId="0" fontId="2" numFmtId="0" xfId="0" applyBorder="1" applyFont="1"/>
    <xf borderId="0" fillId="5" fontId="37" numFmtId="0" xfId="0" applyAlignment="1" applyFont="1">
      <alignment vertical="center"/>
    </xf>
    <xf borderId="45" fillId="5" fontId="5" numFmtId="0" xfId="0" applyAlignment="1" applyBorder="1" applyFont="1">
      <alignment vertical="center"/>
    </xf>
    <xf borderId="0" fillId="5" fontId="14" numFmtId="0" xfId="0" applyAlignment="1" applyFont="1">
      <alignment vertical="center"/>
    </xf>
    <xf borderId="0" fillId="5" fontId="38" numFmtId="0" xfId="0" applyAlignment="1" applyFont="1">
      <alignment vertical="center"/>
    </xf>
    <xf borderId="0" fillId="5" fontId="35" numFmtId="0" xfId="0" applyAlignment="1" applyFont="1">
      <alignment horizontal="right" readingOrder="0" vertical="center"/>
    </xf>
    <xf borderId="46" fillId="5" fontId="36" numFmtId="166" xfId="0" applyAlignment="1" applyBorder="1" applyFont="1" applyNumberFormat="1">
      <alignment horizontal="center" vertical="center"/>
    </xf>
    <xf borderId="0" fillId="0" fontId="10" numFmtId="170" xfId="0" applyAlignment="1" applyFont="1" applyNumberFormat="1">
      <alignment horizontal="right" vertical="bottom"/>
    </xf>
    <xf borderId="0" fillId="0" fontId="10" numFmtId="0" xfId="0" applyAlignment="1" applyFont="1">
      <alignment readingOrder="0" vertical="bottom"/>
    </xf>
    <xf borderId="0" fillId="0" fontId="10" numFmtId="14" xfId="0" applyAlignment="1" applyFont="1" applyNumberFormat="1">
      <alignment horizontal="right" vertical="bottom"/>
    </xf>
    <xf borderId="43" fillId="5" fontId="39" numFmtId="0" xfId="0" applyAlignment="1" applyBorder="1" applyFont="1">
      <alignment horizontal="center" readingOrder="0" vertical="center"/>
    </xf>
    <xf borderId="43" fillId="0" fontId="2" numFmtId="0" xfId="0" applyBorder="1" applyFont="1"/>
    <xf borderId="0" fillId="5" fontId="25" numFmtId="2" xfId="0" applyAlignment="1" applyFont="1" applyNumberFormat="1">
      <alignment horizontal="center" readingOrder="0" vertical="center"/>
    </xf>
    <xf borderId="43" fillId="11" fontId="5" numFmtId="0" xfId="0" applyAlignment="1" applyBorder="1" applyFont="1">
      <alignment vertical="center"/>
    </xf>
    <xf borderId="43" fillId="11" fontId="5" numFmtId="0" xfId="0" applyAlignment="1" applyBorder="1" applyFont="1">
      <alignment horizontal="center" vertical="center"/>
    </xf>
    <xf borderId="0" fillId="0" fontId="10" numFmtId="0" xfId="0" applyAlignment="1" applyFont="1">
      <alignment horizontal="right" vertical="bottom"/>
    </xf>
    <xf borderId="0" fillId="5" fontId="14" numFmtId="0" xfId="0" applyAlignment="1" applyFont="1">
      <alignment horizontal="center" vertical="center"/>
    </xf>
    <xf borderId="0" fillId="5" fontId="5" numFmtId="0" xfId="0" applyAlignment="1" applyFont="1">
      <alignment horizontal="center" readingOrder="0" vertical="center"/>
    </xf>
    <xf borderId="0" fillId="4" fontId="12" numFmtId="0" xfId="0" applyAlignment="1" applyFont="1">
      <alignment horizontal="center" readingOrder="0" vertical="center"/>
    </xf>
    <xf borderId="0" fillId="9" fontId="12" numFmtId="0" xfId="0" applyAlignment="1" applyFont="1">
      <alignment horizontal="center" readingOrder="0" vertical="center"/>
    </xf>
    <xf borderId="0" fillId="5" fontId="40" numFmtId="0" xfId="0" applyAlignment="1" applyFont="1">
      <alignment horizontal="center" readingOrder="0" vertical="center"/>
    </xf>
    <xf borderId="0" fillId="5" fontId="41" numFmtId="0" xfId="0" applyAlignment="1" applyFont="1">
      <alignment horizontal="center" readingOrder="0" vertical="center"/>
    </xf>
    <xf borderId="0" fillId="0" fontId="14" numFmtId="0" xfId="0" applyAlignment="1" applyFont="1">
      <alignment vertical="center"/>
    </xf>
    <xf borderId="0" fillId="5" fontId="42" numFmtId="0" xfId="0" applyAlignment="1" applyFont="1">
      <alignment horizontal="right" readingOrder="0" vertical="center"/>
    </xf>
    <xf borderId="0" fillId="5" fontId="14" numFmtId="0" xfId="0" applyAlignment="1" applyFont="1">
      <alignment horizontal="left" vertical="center"/>
    </xf>
    <xf borderId="0" fillId="0" fontId="43" numFmtId="0" xfId="0" applyAlignment="1" applyFont="1">
      <alignment horizontal="right" vertical="bottom"/>
    </xf>
    <xf borderId="26" fillId="5" fontId="44" numFmtId="0" xfId="0" applyAlignment="1" applyBorder="1" applyFont="1">
      <alignment horizontal="center" readingOrder="0" vertical="center"/>
    </xf>
    <xf borderId="43" fillId="5" fontId="42" numFmtId="0" xfId="0" applyAlignment="1" applyBorder="1" applyFont="1">
      <alignment horizontal="right" readingOrder="0" vertical="center"/>
    </xf>
    <xf borderId="20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43" fillId="5" fontId="14" numFmtId="166" xfId="0" applyAlignment="1" applyBorder="1" applyFont="1" applyNumberFormat="1">
      <alignment horizontal="left" vertical="center"/>
    </xf>
    <xf borderId="17" fillId="0" fontId="6" numFmtId="0" xfId="0" applyAlignment="1" applyBorder="1" applyFont="1">
      <alignment horizontal="center" readingOrder="0" shrinkToFit="0" vertical="center" wrapText="1"/>
    </xf>
    <xf borderId="0" fillId="5" fontId="10" numFmtId="0" xfId="0" applyAlignment="1" applyFont="1">
      <alignment vertical="center"/>
    </xf>
    <xf borderId="0" fillId="5" fontId="15" numFmtId="0" xfId="0" applyAlignment="1" applyFont="1">
      <alignment vertical="center"/>
    </xf>
    <xf borderId="0" fillId="5" fontId="41" numFmtId="0" xfId="0" applyAlignment="1" applyFont="1">
      <alignment vertical="center"/>
    </xf>
    <xf borderId="4" fillId="5" fontId="45" numFmtId="0" xfId="0" applyAlignment="1" applyBorder="1" applyFont="1">
      <alignment readingOrder="0" vertical="center"/>
    </xf>
    <xf borderId="11" fillId="5" fontId="14" numFmtId="0" xfId="0" applyAlignment="1" applyBorder="1" applyFont="1">
      <alignment readingOrder="0" vertical="center"/>
    </xf>
    <xf borderId="0" fillId="5" fontId="10" numFmtId="0" xfId="0" applyAlignment="1" applyFont="1">
      <alignment readingOrder="0" vertical="center"/>
    </xf>
    <xf borderId="0" fillId="5" fontId="15" numFmtId="0" xfId="0" applyAlignment="1" applyFont="1">
      <alignment readingOrder="0" vertical="center"/>
    </xf>
    <xf borderId="40" fillId="5" fontId="41" numFmtId="0" xfId="0" applyAlignment="1" applyBorder="1" applyFont="1">
      <alignment readingOrder="0" vertical="center"/>
    </xf>
    <xf borderId="20" fillId="5" fontId="45" numFmtId="0" xfId="0" applyAlignment="1" applyBorder="1" applyFont="1">
      <alignment readingOrder="0" vertical="center"/>
    </xf>
    <xf borderId="0" fillId="5" fontId="46" numFmtId="0" xfId="0" applyAlignment="1" applyFont="1">
      <alignment readingOrder="0" vertical="center"/>
    </xf>
    <xf borderId="0" fillId="5" fontId="41" numFmtId="0" xfId="0" applyAlignment="1" applyFont="1">
      <alignment readingOrder="0" vertical="center"/>
    </xf>
    <xf borderId="0" fillId="0" fontId="47" numFmtId="0" xfId="0" applyFont="1"/>
    <xf borderId="0" fillId="5" fontId="36" numFmtId="2" xfId="0" applyAlignment="1" applyFont="1" applyNumberFormat="1">
      <alignment readingOrder="0" vertical="center"/>
    </xf>
    <xf borderId="0" fillId="3" fontId="16" numFmtId="0" xfId="0" applyAlignment="1" applyFont="1">
      <alignment readingOrder="0"/>
    </xf>
    <xf borderId="0" fillId="13" fontId="5" numFmtId="0" xfId="0" applyAlignment="1" applyFill="1" applyFont="1">
      <alignment vertical="center"/>
    </xf>
    <xf borderId="43" fillId="13" fontId="5" numFmtId="0" xfId="0" applyAlignment="1" applyBorder="1" applyFont="1">
      <alignment vertical="center"/>
    </xf>
    <xf borderId="0" fillId="3" fontId="48" numFmtId="0" xfId="0" applyFont="1"/>
    <xf borderId="43" fillId="13" fontId="5" numFmtId="0" xfId="0" applyAlignment="1" applyBorder="1" applyFont="1">
      <alignment horizontal="center" vertical="center"/>
    </xf>
    <xf borderId="0" fillId="0" fontId="5" numFmtId="171" xfId="0" applyAlignment="1" applyFont="1" applyNumberFormat="1">
      <alignment readingOrder="0"/>
    </xf>
    <xf borderId="0" fillId="10" fontId="12" numFmtId="0" xfId="0" applyAlignment="1" applyFont="1">
      <alignment horizontal="center" readingOrder="0" vertical="center"/>
    </xf>
    <xf borderId="4" fillId="5" fontId="5" numFmtId="0" xfId="0" applyAlignment="1" applyBorder="1" applyFont="1">
      <alignment vertical="center"/>
    </xf>
    <xf borderId="47" fillId="5" fontId="36" numFmtId="0" xfId="0" applyAlignment="1" applyBorder="1" applyFont="1">
      <alignment vertical="center"/>
    </xf>
    <xf borderId="47" fillId="5" fontId="36" numFmtId="0" xfId="0" applyAlignment="1" applyBorder="1" applyFont="1">
      <alignment readingOrder="0" vertical="center"/>
    </xf>
    <xf borderId="47" fillId="5" fontId="36" numFmtId="0" xfId="0" applyAlignment="1" applyBorder="1" applyFont="1">
      <alignment horizontal="center" readingOrder="0" vertical="center"/>
    </xf>
    <xf borderId="48" fillId="5" fontId="36" numFmtId="0" xfId="0" applyAlignment="1" applyBorder="1" applyFont="1">
      <alignment horizontal="center" vertical="center"/>
    </xf>
    <xf borderId="6" fillId="5" fontId="36" numFmtId="0" xfId="0" applyAlignment="1" applyBorder="1" applyFont="1">
      <alignment vertical="center"/>
    </xf>
    <xf borderId="0" fillId="3" fontId="16" numFmtId="0" xfId="0" applyFont="1"/>
    <xf borderId="48" fillId="5" fontId="14" numFmtId="0" xfId="0" applyAlignment="1" applyBorder="1" applyFont="1">
      <alignment horizontal="center" readingOrder="0" vertical="center"/>
    </xf>
    <xf borderId="6" fillId="5" fontId="14" numFmtId="0" xfId="0" applyAlignment="1" applyBorder="1" applyFont="1">
      <alignment vertical="center"/>
    </xf>
    <xf borderId="7" fillId="5" fontId="14" numFmtId="0" xfId="0" applyAlignment="1" applyBorder="1" applyFont="1">
      <alignment vertical="center"/>
    </xf>
    <xf borderId="11" fillId="5" fontId="5" numFmtId="0" xfId="0" applyAlignment="1" applyBorder="1" applyFont="1">
      <alignment vertical="center"/>
    </xf>
    <xf borderId="0" fillId="5" fontId="36" numFmtId="0" xfId="0" applyAlignment="1" applyFont="1">
      <alignment horizontal="right" readingOrder="0" vertical="center"/>
    </xf>
    <xf borderId="0" fillId="5" fontId="36" numFmtId="166" xfId="0" applyAlignment="1" applyFont="1" applyNumberFormat="1">
      <alignment readingOrder="0" vertical="center"/>
    </xf>
    <xf borderId="0" fillId="5" fontId="36" numFmtId="0" xfId="0" applyAlignment="1" applyFont="1">
      <alignment horizontal="center" readingOrder="0" vertical="center"/>
    </xf>
    <xf borderId="0" fillId="5" fontId="36" numFmtId="0" xfId="0" applyAlignment="1" applyFont="1">
      <alignment vertical="center"/>
    </xf>
    <xf borderId="0" fillId="5" fontId="14" numFmtId="0" xfId="0" applyAlignment="1" applyFont="1">
      <alignment readingOrder="0" vertical="center"/>
    </xf>
    <xf borderId="12" fillId="5" fontId="14" numFmtId="0" xfId="0" applyAlignment="1" applyBorder="1" applyFont="1">
      <alignment vertical="center"/>
    </xf>
    <xf borderId="0" fillId="5" fontId="36" numFmtId="166" xfId="0" applyAlignment="1" applyFont="1" applyNumberFormat="1">
      <alignment vertical="center"/>
    </xf>
    <xf borderId="0" fillId="5" fontId="36" numFmtId="0" xfId="0" applyAlignment="1" applyFont="1">
      <alignment horizontal="center" vertical="center"/>
    </xf>
    <xf borderId="45" fillId="5" fontId="36" numFmtId="166" xfId="0" applyAlignment="1" applyBorder="1" applyFont="1" applyNumberFormat="1">
      <alignment vertical="center"/>
    </xf>
    <xf borderId="0" fillId="3" fontId="10" numFmtId="0" xfId="0" applyFont="1"/>
    <xf borderId="0" fillId="3" fontId="10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5" fontId="36" numFmtId="0" xfId="0" applyAlignment="1" applyFont="1">
      <alignment readingOrder="0" vertical="center"/>
    </xf>
    <xf borderId="43" fillId="3" fontId="10" numFmtId="0" xfId="0" applyBorder="1" applyFont="1"/>
    <xf borderId="38" fillId="5" fontId="36" numFmtId="0" xfId="0" applyAlignment="1" applyBorder="1" applyFont="1">
      <alignment vertical="center"/>
    </xf>
    <xf borderId="43" fillId="5" fontId="36" numFmtId="0" xfId="0" applyAlignment="1" applyBorder="1" applyFont="1">
      <alignment horizontal="center" readingOrder="0" vertical="center"/>
    </xf>
    <xf borderId="43" fillId="3" fontId="10" numFmtId="0" xfId="0" applyAlignment="1" applyBorder="1" applyFont="1">
      <alignment readingOrder="0"/>
    </xf>
    <xf borderId="38" fillId="5" fontId="36" numFmtId="166" xfId="0" applyAlignment="1" applyBorder="1" applyFont="1" applyNumberFormat="1">
      <alignment vertical="center"/>
    </xf>
    <xf borderId="43" fillId="5" fontId="36" numFmtId="0" xfId="0" applyAlignment="1" applyBorder="1" applyFont="1">
      <alignment vertical="center"/>
    </xf>
    <xf borderId="43" fillId="5" fontId="36" numFmtId="0" xfId="0" applyAlignment="1" applyBorder="1" applyFont="1">
      <alignment readingOrder="0" vertical="center"/>
    </xf>
    <xf borderId="0" fillId="5" fontId="36" numFmtId="166" xfId="0" applyAlignment="1" applyFont="1" applyNumberFormat="1">
      <alignment horizontal="center" readingOrder="0" vertical="center"/>
    </xf>
    <xf borderId="49" fillId="5" fontId="36" numFmtId="166" xfId="0" applyAlignment="1" applyBorder="1" applyFont="1" applyNumberFormat="1">
      <alignment horizontal="center" readingOrder="0" vertical="center"/>
    </xf>
    <xf borderId="0" fillId="5" fontId="49" numFmtId="0" xfId="0" applyAlignment="1" applyFont="1">
      <alignment vertical="center"/>
    </xf>
    <xf borderId="0" fillId="5" fontId="24" numFmtId="0" xfId="0" applyAlignment="1" applyFont="1">
      <alignment vertical="center"/>
    </xf>
    <xf borderId="0" fillId="5" fontId="27" numFmtId="0" xfId="0" applyAlignment="1" applyFont="1">
      <alignment horizontal="right" readingOrder="0" vertical="center"/>
    </xf>
    <xf borderId="0" fillId="5" fontId="27" numFmtId="166" xfId="0" applyAlignment="1" applyFont="1" applyNumberFormat="1">
      <alignment horizontal="left" vertical="center"/>
    </xf>
    <xf borderId="0" fillId="5" fontId="24" numFmtId="0" xfId="0" applyAlignment="1" applyFont="1">
      <alignment horizontal="center" vertical="center"/>
    </xf>
    <xf borderId="0" fillId="5" fontId="50" numFmtId="0" xfId="0" applyAlignment="1" applyFont="1">
      <alignment vertical="center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D9D9D9"/>
      </font>
      <fill>
        <patternFill patternType="none"/>
      </fill>
      <border/>
    </dxf>
    <dxf>
      <font>
        <color rgb="FF999999"/>
      </font>
      <fill>
        <patternFill patternType="solid">
          <fgColor theme="0"/>
          <bgColor theme="0"/>
        </patternFill>
      </fill>
      <border/>
    </dxf>
    <dxf>
      <font>
        <color rgb="FFEFEFEF"/>
      </font>
      <fill>
        <patternFill patternType="solid">
          <fgColor rgb="FFD9D9D9"/>
          <bgColor rgb="FFD9D9D9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theme="0"/>
      </font>
      <fill>
        <patternFill patternType="solid">
          <fgColor theme="8"/>
          <bgColor theme="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Pt>
            <c:idx val="2"/>
            <c:spPr>
              <a:solidFill>
                <a:schemeClr val="accent2"/>
              </a:solidFill>
            </c:spPr>
          </c:dPt>
          <c:dPt>
            <c:idx val="3"/>
            <c:spPr>
              <a:solidFill>
                <a:schemeClr val="accent5"/>
              </a:solidFill>
            </c:spPr>
          </c:dPt>
          <c:dPt>
            <c:idx val="4"/>
            <c:spPr>
              <a:solidFill>
                <a:schemeClr val="accent1"/>
              </a:solidFill>
            </c:spPr>
          </c:dPt>
          <c:dPt>
            <c:idx val="5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'Back Door'!$A$9:$A$14</c:f>
            </c:strRef>
          </c:cat>
          <c:val>
            <c:numRef>
              <c:f>'Back Door'!$B$9:$B$14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B7B7B7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C8C8C8"/>
                </a:solidFill>
                <a:latin typeface="Roboto"/>
              </a:defRPr>
            </a:pPr>
            <a:r>
              <a:rPr b="0" sz="1600">
                <a:solidFill>
                  <a:srgbClr val="C8C8C8"/>
                </a:solidFill>
                <a:latin typeface="Roboto"/>
              </a:rPr>
              <a:t>Card Balance Tracker: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FC5E8"/>
            </a:solidFill>
            <a:ln cmpd="sng">
              <a:noFill/>
            </a:ln>
          </c:spPr>
          <c:cat>
            <c:strRef>
              <c:f>'Credit Card Tracker'!$A$13:$A$59</c:f>
            </c:strRef>
          </c:cat>
          <c:val>
            <c:numRef>
              <c:f>'Credit Card Tracker'!$E$13:$E$59</c:f>
              <c:numCache/>
            </c:numRef>
          </c:val>
        </c:ser>
        <c:axId val="483570663"/>
        <c:axId val="704555385"/>
      </c:barChart>
      <c:catAx>
        <c:axId val="483570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999999"/>
                    </a:solidFill>
                    <a:latin typeface="Roboto"/>
                  </a:defRPr>
                </a:pPr>
                <a:r>
                  <a:rPr b="0">
                    <a:solidFill>
                      <a:srgbClr val="999999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999999"/>
                </a:solidFill>
                <a:latin typeface="Verdana"/>
              </a:defRPr>
            </a:pPr>
          </a:p>
        </c:txPr>
        <c:crossAx val="704555385"/>
      </c:catAx>
      <c:valAx>
        <c:axId val="70455538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999999"/>
                    </a:solidFill>
                    <a:latin typeface="Verdana"/>
                  </a:defRPr>
                </a:pPr>
                <a:r>
                  <a:rPr b="0" sz="1000">
                    <a:solidFill>
                      <a:srgbClr val="999999"/>
                    </a:solidFill>
                    <a:latin typeface="Verdana"/>
                  </a:rPr>
                  <a:t>Monthly Payments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800">
                <a:solidFill>
                  <a:srgbClr val="999999"/>
                </a:solidFill>
                <a:latin typeface="Verdana"/>
              </a:defRPr>
            </a:pPr>
          </a:p>
        </c:txPr>
        <c:crossAx val="48357066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Goal</c:v>
          </c:tx>
          <c:spPr>
            <a:solidFill>
              <a:schemeClr val="accent1"/>
            </a:solidFill>
            <a:ln cmpd="sng">
              <a:solidFill>
                <a:schemeClr val="accent1"/>
              </a:solidFill>
            </a:ln>
          </c:spPr>
          <c:cat>
            <c:strRef>
              <c:f>'Savings Goal Calculator'!$D$13</c:f>
            </c:strRef>
          </c:cat>
          <c:val>
            <c:numRef>
              <c:f>'Savings Goal Calculator'!$E$12</c:f>
              <c:numCache/>
            </c:numRef>
          </c:val>
        </c:ser>
        <c:ser>
          <c:idx val="1"/>
          <c:order val="1"/>
          <c:tx>
            <c:v>Current Balance</c:v>
          </c:tx>
          <c:spPr>
            <a:solidFill>
              <a:schemeClr val="accent2"/>
            </a:solidFill>
            <a:ln cmpd="sng">
              <a:solidFill>
                <a:schemeClr val="accent2"/>
              </a:solidFill>
            </a:ln>
          </c:spPr>
          <c:cat>
            <c:strRef>
              <c:f>'Savings Goal Calculator'!$D$13</c:f>
            </c:strRef>
          </c:cat>
          <c:val>
            <c:numRef>
              <c:f>'Savings Goal Calculator'!$D$12</c:f>
              <c:numCache/>
            </c:numRef>
          </c:val>
        </c:ser>
        <c:axId val="300469628"/>
        <c:axId val="722293799"/>
      </c:areaChart>
      <c:catAx>
        <c:axId val="300469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999999"/>
                    </a:solidFill>
                    <a:latin typeface="+mn-lt"/>
                  </a:defRPr>
                </a:pPr>
                <a:r>
                  <a:rPr b="0">
                    <a:solidFill>
                      <a:srgbClr val="99999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22293799"/>
      </c:catAx>
      <c:valAx>
        <c:axId val="72229379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999999"/>
                    </a:solidFill>
                    <a:latin typeface="+mn-lt"/>
                  </a:defRPr>
                </a:pPr>
                <a:r>
                  <a:rPr b="0">
                    <a:solidFill>
                      <a:srgbClr val="99999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999999"/>
                </a:solidFill>
                <a:latin typeface="sans-serif"/>
              </a:defRPr>
            </a:pPr>
          </a:p>
        </c:txPr>
        <c:crossAx val="300469628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solidFill>
                  <a:srgbClr val="666666"/>
                </a:solidFill>
                <a:latin typeface="sans-serif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666666"/>
                </a:solidFill>
                <a:latin typeface="sans-serif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A3A3A3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C8C8C8"/>
                </a:solidFill>
                <a:latin typeface="Roboto"/>
              </a:defRPr>
            </a:pPr>
            <a:r>
              <a:rPr b="0" sz="1600">
                <a:solidFill>
                  <a:srgbClr val="C8C8C8"/>
                </a:solidFill>
                <a:latin typeface="Roboto"/>
              </a:rPr>
              <a:t>Card Balance Tracker: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FC5E8"/>
            </a:solidFill>
            <a:ln cmpd="sng">
              <a:noFill/>
            </a:ln>
          </c:spPr>
          <c:cat>
            <c:strRef>
              <c:f>'Credit Card Tracker'!$A$13:$A$59</c:f>
            </c:strRef>
          </c:cat>
          <c:val>
            <c:numRef>
              <c:f>'Credit Card Tracker'!$E$13:$E$59</c:f>
              <c:numCache/>
            </c:numRef>
          </c:val>
        </c:ser>
        <c:axId val="328631408"/>
        <c:axId val="1990664354"/>
      </c:barChart>
      <c:catAx>
        <c:axId val="32863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999999"/>
                    </a:solidFill>
                    <a:latin typeface="Roboto"/>
                  </a:defRPr>
                </a:pPr>
                <a:r>
                  <a:rPr b="0">
                    <a:solidFill>
                      <a:srgbClr val="999999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999999"/>
                </a:solidFill>
                <a:latin typeface="Verdana"/>
              </a:defRPr>
            </a:pPr>
          </a:p>
        </c:txPr>
        <c:crossAx val="1990664354"/>
      </c:catAx>
      <c:valAx>
        <c:axId val="199066435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999999"/>
                    </a:solidFill>
                    <a:latin typeface="Verdana"/>
                  </a:defRPr>
                </a:pPr>
                <a:r>
                  <a:rPr b="0" sz="1000">
                    <a:solidFill>
                      <a:srgbClr val="999999"/>
                    </a:solidFill>
                    <a:latin typeface="Verdana"/>
                  </a:rPr>
                  <a:t>Monthly Payments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800">
                <a:solidFill>
                  <a:srgbClr val="999999"/>
                </a:solidFill>
                <a:latin typeface="Verdana"/>
              </a:defRPr>
            </a:pPr>
          </a:p>
        </c:txPr>
        <c:crossAx val="328631408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Goal</c:v>
          </c:tx>
          <c:spPr>
            <a:solidFill>
              <a:schemeClr val="accent1"/>
            </a:solidFill>
            <a:ln cmpd="sng">
              <a:solidFill>
                <a:schemeClr val="accent1"/>
              </a:solidFill>
            </a:ln>
          </c:spPr>
          <c:cat>
            <c:strRef>
              <c:f>'Savings Goal Calculator'!$D$13</c:f>
            </c:strRef>
          </c:cat>
          <c:val>
            <c:numRef>
              <c:f>'Savings Goal Calculator'!$E$12</c:f>
              <c:numCache/>
            </c:numRef>
          </c:val>
        </c:ser>
        <c:ser>
          <c:idx val="1"/>
          <c:order val="1"/>
          <c:tx>
            <c:v>Current Balance</c:v>
          </c:tx>
          <c:spPr>
            <a:solidFill>
              <a:schemeClr val="accent3"/>
            </a:solidFill>
            <a:ln cmpd="sng">
              <a:solidFill>
                <a:schemeClr val="accent3"/>
              </a:solidFill>
            </a:ln>
          </c:spPr>
          <c:cat>
            <c:strRef>
              <c:f>'Savings Goal Calculator'!$D$13</c:f>
            </c:strRef>
          </c:cat>
          <c:val>
            <c:numRef>
              <c:f>'Savings Goal Calculator'!$D$12</c:f>
              <c:numCache/>
            </c:numRef>
          </c:val>
        </c:ser>
        <c:axId val="1900305764"/>
        <c:axId val="450403546"/>
      </c:areaChart>
      <c:catAx>
        <c:axId val="1900305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999999"/>
                    </a:solidFill>
                    <a:latin typeface="+mn-lt"/>
                  </a:defRPr>
                </a:pPr>
                <a:r>
                  <a:rPr b="0">
                    <a:solidFill>
                      <a:srgbClr val="99999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450403546"/>
      </c:catAx>
      <c:valAx>
        <c:axId val="45040354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999999"/>
                    </a:solidFill>
                    <a:latin typeface="+mn-lt"/>
                  </a:defRPr>
                </a:pPr>
                <a:r>
                  <a:rPr b="0">
                    <a:solidFill>
                      <a:srgbClr val="99999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999999"/>
                </a:solidFill>
                <a:latin typeface="sans-serif"/>
              </a:defRPr>
            </a:pPr>
          </a:p>
        </c:txPr>
        <c:crossAx val="1900305764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solidFill>
                  <a:srgbClr val="666666"/>
                </a:solidFill>
                <a:latin typeface="sans-serif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666666"/>
                </a:solidFill>
                <a:latin typeface="sans-serif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A3A3A3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3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1009650</xdr:colOff>
      <xdr:row>1</xdr:row>
      <xdr:rowOff>190500</xdr:rowOff>
    </xdr:from>
    <xdr:ext cx="5276850" cy="2762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914400</xdr:colOff>
      <xdr:row>38</xdr:row>
      <xdr:rowOff>38100</xdr:rowOff>
    </xdr:from>
    <xdr:ext cx="4038600" cy="1095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266700</xdr:colOff>
      <xdr:row>3</xdr:row>
      <xdr:rowOff>19050</xdr:rowOff>
    </xdr:from>
    <xdr:ext cx="4152900" cy="2124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161925</xdr:colOff>
      <xdr:row>7</xdr:row>
      <xdr:rowOff>28575</xdr:rowOff>
    </xdr:from>
    <xdr:ext cx="685800" cy="6858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981075</xdr:colOff>
      <xdr:row>13</xdr:row>
      <xdr:rowOff>104775</xdr:rowOff>
    </xdr:from>
    <xdr:ext cx="428625" cy="46672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4</xdr:row>
      <xdr:rowOff>161925</xdr:rowOff>
    </xdr:from>
    <xdr:ext cx="1228725" cy="1228725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619125</xdr:colOff>
      <xdr:row>1</xdr:row>
      <xdr:rowOff>38100</xdr:rowOff>
    </xdr:from>
    <xdr:ext cx="533400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171450</xdr:colOff>
      <xdr:row>4</xdr:row>
      <xdr:rowOff>19050</xdr:rowOff>
    </xdr:from>
    <xdr:ext cx="942975" cy="942975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85725</xdr:rowOff>
    </xdr:from>
    <xdr:ext cx="609600" cy="609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514350</xdr:colOff>
      <xdr:row>1</xdr:row>
      <xdr:rowOff>57150</xdr:rowOff>
    </xdr:from>
    <xdr:ext cx="666750" cy="6667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3</xdr:row>
      <xdr:rowOff>47625</xdr:rowOff>
    </xdr:from>
    <xdr:ext cx="2143125" cy="32480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400050</xdr:colOff>
      <xdr:row>11</xdr:row>
      <xdr:rowOff>47625</xdr:rowOff>
    </xdr:from>
    <xdr:ext cx="1228725" cy="122872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999999"/>
      </a:dk1>
      <a:lt1>
        <a:srgbClr val="FFFFFF"/>
      </a:lt1>
      <a:dk2>
        <a:srgbClr val="999999"/>
      </a:dk2>
      <a:lt2>
        <a:srgbClr val="FFFFFF"/>
      </a:lt2>
      <a:accent1>
        <a:srgbClr val="B4A7D6"/>
      </a:accent1>
      <a:accent2>
        <a:srgbClr val="FFD966"/>
      </a:accent2>
      <a:accent3>
        <a:srgbClr val="FBBC04"/>
      </a:accent3>
      <a:accent4>
        <a:srgbClr val="6DB6AD"/>
      </a:accent4>
      <a:accent5>
        <a:srgbClr val="93C47D"/>
      </a:accent5>
      <a:accent6>
        <a:srgbClr val="EA9999"/>
      </a:accent6>
      <a:hlink>
        <a:srgbClr val="6D9EEB"/>
      </a:hlink>
      <a:folHlink>
        <a:srgbClr val="6D9EEB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e/2PACX-1vR-yP8F_qNvn1IEe-Ebk7oxBwKHNOxkMgPopCAAESjDUAgLpLYP97dwZVqIYRAobgisKyxJNQZSEfnL/pub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5" width="13.75"/>
  </cols>
  <sheetData>
    <row r="1" ht="49.5" customHeight="1">
      <c r="A1" s="90"/>
      <c r="B1" s="90" t="s">
        <v>3</v>
      </c>
    </row>
    <row r="2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6"/>
      <c r="M2" s="93"/>
      <c r="N2" s="93"/>
      <c r="O2" s="93"/>
    </row>
    <row r="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6"/>
      <c r="M3" s="93"/>
      <c r="N3" s="93"/>
      <c r="O3" s="93"/>
    </row>
    <row r="4">
      <c r="A4" s="93"/>
      <c r="B4" s="93"/>
      <c r="C4" s="93"/>
      <c r="D4" s="93"/>
      <c r="E4" s="93"/>
      <c r="F4" s="93"/>
      <c r="G4" s="93"/>
      <c r="H4" s="102" t="str">
        <f>IFERROR(__xludf.DUMMYFUNCTION("SPARKLINE(H11,{""charttype"",""column"";""ymin"", 0; ""ymax"",MAX(I11);""firstcolor"",""7dada9""})"),"")</f>
        <v/>
      </c>
      <c r="I4" s="116"/>
      <c r="L4" s="96"/>
      <c r="M4" s="93"/>
      <c r="N4" s="93"/>
      <c r="O4" s="93"/>
    </row>
    <row r="5">
      <c r="A5" s="93"/>
      <c r="B5" s="93"/>
      <c r="C5" s="93"/>
      <c r="D5" s="93"/>
      <c r="E5" s="93"/>
      <c r="F5" s="93"/>
      <c r="G5" s="93"/>
      <c r="H5" s="117"/>
      <c r="L5" s="96"/>
      <c r="M5" s="93"/>
      <c r="N5" s="93"/>
      <c r="O5" s="93"/>
    </row>
    <row r="6">
      <c r="A6" s="93"/>
      <c r="B6" s="93"/>
      <c r="C6" s="93"/>
      <c r="D6" s="93"/>
      <c r="E6" s="93"/>
      <c r="F6" s="93"/>
      <c r="G6" s="93"/>
      <c r="H6" s="117"/>
      <c r="L6" s="96"/>
      <c r="M6" s="93"/>
      <c r="N6" s="93"/>
      <c r="O6" s="93"/>
    </row>
    <row r="7">
      <c r="A7" s="93"/>
      <c r="B7" s="93"/>
      <c r="C7" s="93"/>
      <c r="D7" s="93"/>
      <c r="E7" s="93"/>
      <c r="F7" s="93"/>
      <c r="G7" s="93"/>
      <c r="H7" s="117"/>
      <c r="L7" s="96"/>
      <c r="M7" s="93"/>
      <c r="N7" s="93"/>
      <c r="O7" s="93"/>
    </row>
    <row r="8">
      <c r="A8" s="93"/>
      <c r="B8" s="93"/>
      <c r="C8" s="93"/>
      <c r="D8" s="93"/>
      <c r="E8" s="93"/>
      <c r="F8" s="93"/>
      <c r="G8" s="93"/>
      <c r="H8" s="117"/>
      <c r="L8" s="120"/>
      <c r="M8" s="93"/>
      <c r="N8" s="93"/>
      <c r="O8" s="93"/>
    </row>
    <row r="9">
      <c r="A9" s="93"/>
      <c r="B9" s="93"/>
      <c r="C9" s="93"/>
      <c r="D9" s="93"/>
      <c r="E9" s="93"/>
      <c r="F9" s="93"/>
      <c r="G9" s="93"/>
      <c r="H9" s="117"/>
      <c r="L9" s="120"/>
      <c r="M9" s="93"/>
      <c r="N9" s="93"/>
      <c r="O9" s="93"/>
    </row>
    <row r="10">
      <c r="A10" s="93"/>
      <c r="B10" s="93"/>
      <c r="C10" s="93"/>
      <c r="D10" s="93"/>
      <c r="E10" s="93"/>
      <c r="F10" s="93"/>
      <c r="G10" s="93"/>
      <c r="H10" s="127" t="s">
        <v>52</v>
      </c>
      <c r="I10" s="130" t="s">
        <v>53</v>
      </c>
      <c r="L10" s="96"/>
      <c r="M10" s="93"/>
      <c r="N10" s="93"/>
      <c r="O10" s="93"/>
    </row>
    <row r="11">
      <c r="A11" s="93"/>
      <c r="B11" s="93"/>
      <c r="C11" s="93"/>
      <c r="D11" s="93"/>
      <c r="E11" s="93"/>
      <c r="F11" s="93"/>
      <c r="G11" s="93"/>
      <c r="H11" s="135">
        <f>SUM(I86,L38)</f>
        <v>3001</v>
      </c>
      <c r="I11" s="137">
        <f>F42</f>
        <v>3570</v>
      </c>
      <c r="L11" s="96"/>
      <c r="M11" s="93"/>
      <c r="N11" s="93"/>
      <c r="O11" s="93"/>
    </row>
    <row r="1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6"/>
      <c r="M12" s="93"/>
      <c r="N12" s="93"/>
      <c r="O12" s="93"/>
    </row>
    <row r="13" ht="20.25" customHeight="1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6"/>
      <c r="N13" s="93"/>
      <c r="O13" s="93"/>
    </row>
    <row r="14">
      <c r="A14" s="93"/>
      <c r="B14" s="93"/>
      <c r="C14" s="93"/>
      <c r="D14" s="93"/>
      <c r="E14" s="93"/>
      <c r="F14" s="93"/>
      <c r="G14" s="146"/>
      <c r="H14" s="146"/>
      <c r="I14" s="148"/>
      <c r="J14" s="93"/>
      <c r="K14" s="93"/>
      <c r="L14" s="96"/>
      <c r="N14" s="93"/>
      <c r="O14" s="93"/>
    </row>
    <row r="15">
      <c r="A15" s="93"/>
      <c r="B15" s="93"/>
      <c r="C15" s="93"/>
      <c r="D15" s="93"/>
      <c r="E15" s="93"/>
      <c r="G15" s="150" t="s">
        <v>62</v>
      </c>
      <c r="H15" s="117"/>
      <c r="I15" s="152">
        <f>I26</f>
        <v>18.70684932</v>
      </c>
      <c r="K15" s="93"/>
      <c r="L15" s="96"/>
      <c r="M15" s="130" t="s">
        <v>58</v>
      </c>
      <c r="N15" s="93"/>
      <c r="O15" s="93"/>
    </row>
    <row r="16">
      <c r="A16" s="93"/>
      <c r="B16" s="93"/>
      <c r="C16" s="93"/>
      <c r="D16" s="93"/>
      <c r="E16" s="93"/>
      <c r="G16" s="150"/>
      <c r="H16" s="150"/>
      <c r="I16" s="152"/>
      <c r="K16" s="93"/>
      <c r="L16" s="96"/>
      <c r="M16" s="93"/>
      <c r="N16" s="93"/>
      <c r="O16" s="93"/>
    </row>
    <row r="17">
      <c r="A17" s="93"/>
      <c r="B17" s="93"/>
      <c r="C17" s="93"/>
      <c r="D17" s="93"/>
      <c r="E17" s="93"/>
      <c r="G17" s="150"/>
      <c r="H17" s="150"/>
      <c r="I17" s="152"/>
      <c r="K17" s="93"/>
      <c r="L17" s="96"/>
      <c r="M17" s="93"/>
      <c r="N17" s="93"/>
      <c r="O17" s="93"/>
    </row>
    <row r="18" ht="23.25" customHeight="1">
      <c r="A18" s="93"/>
      <c r="B18" s="93"/>
      <c r="C18" s="93"/>
      <c r="D18" s="93"/>
      <c r="E18" s="93"/>
      <c r="F18" s="161" t="str">
        <f>" "&amp;'Back Door'!J8&amp;" It's "&amp;text(today(), "dddd, mmmm d")&amp;" there are "&amp;'Back Door'!J5&amp;" days left in this month! You have "&amp;'Back Door'!I18&amp;" payments still due this month!"</f>
        <v> ☕ Good morning!  It's Monday, August 17 there are 14 days left in this month! You have 0 payments still due this month!</v>
      </c>
      <c r="M18" s="93"/>
      <c r="N18" s="93"/>
      <c r="O18" s="93"/>
    </row>
    <row r="19" ht="23.25" customHeight="1">
      <c r="A19" s="93"/>
      <c r="B19" s="93"/>
      <c r="C19" s="93"/>
      <c r="D19" s="93"/>
      <c r="E19" s="93"/>
      <c r="M19" s="93"/>
      <c r="N19" s="93"/>
      <c r="O19" s="93"/>
    </row>
    <row r="20" ht="9.0" customHeight="1">
      <c r="A20" s="165"/>
      <c r="B20" s="165"/>
      <c r="C20" s="165"/>
      <c r="D20" s="165"/>
      <c r="E20" s="165"/>
      <c r="F20" s="165"/>
      <c r="J20" s="165"/>
      <c r="K20" s="165"/>
      <c r="L20" s="167"/>
      <c r="M20" s="165"/>
      <c r="N20" s="165"/>
      <c r="O20" s="165"/>
    </row>
    <row r="21" ht="9.0" customHeight="1">
      <c r="A21" s="168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3"/>
      <c r="M21" s="170"/>
      <c r="N21" s="170"/>
      <c r="O21" s="170"/>
    </row>
    <row r="22" ht="12.0" customHeight="1">
      <c r="A22" s="176"/>
      <c r="B22" s="176"/>
      <c r="C22" s="178"/>
      <c r="D22" s="178"/>
      <c r="E22" s="178"/>
      <c r="F22" s="161"/>
      <c r="G22" s="161"/>
      <c r="H22" s="161"/>
      <c r="I22" s="161"/>
      <c r="J22" s="161"/>
      <c r="K22" s="161"/>
      <c r="L22" s="37"/>
      <c r="M22" s="181"/>
      <c r="N22" s="181"/>
      <c r="O22" s="181"/>
    </row>
    <row r="23" ht="31.5" customHeight="1">
      <c r="A23" s="176"/>
      <c r="B23" s="176"/>
      <c r="C23" s="178"/>
      <c r="G23" s="188" t="s">
        <v>73</v>
      </c>
      <c r="O23" s="181"/>
    </row>
    <row r="24" ht="12.0" customHeight="1">
      <c r="A24" s="176"/>
      <c r="B24" s="176"/>
      <c r="C24" s="178"/>
      <c r="D24" s="178"/>
      <c r="E24" s="178"/>
      <c r="F24" s="161"/>
      <c r="G24" s="161"/>
      <c r="H24" s="161"/>
      <c r="I24" s="161"/>
      <c r="J24" s="161"/>
      <c r="K24" s="161"/>
      <c r="L24" s="37"/>
      <c r="M24" s="181"/>
      <c r="N24" s="181"/>
      <c r="O24" s="181"/>
    </row>
    <row r="25" ht="24.0" customHeight="1">
      <c r="A25" s="176"/>
      <c r="B25" s="176"/>
      <c r="C25" s="178"/>
      <c r="G25" s="191" t="s">
        <v>85</v>
      </c>
      <c r="H25" s="95"/>
      <c r="I25" s="191" t="s">
        <v>87</v>
      </c>
      <c r="J25" s="95"/>
      <c r="O25" s="181"/>
    </row>
    <row r="26" ht="24.0" customHeight="1">
      <c r="A26" s="176"/>
      <c r="B26" s="176"/>
      <c r="C26" s="195"/>
      <c r="G26" s="196" t="str">
        <f>I25</f>
        <v> Daily</v>
      </c>
      <c r="H26" s="197" t="s">
        <v>62</v>
      </c>
      <c r="I26" s="198">
        <f>(IF(G26="Pay Period", if(D38="","Select a Pay Schedule", if(D38="Weekly", ((I11-H11)*12)/52, if(D38="Bi-Weekly", (((I11-H11)*12)/52)*2,if(D38="Monthly",(I11-H11), if(D38="Bi-Monthly",((I11-H11)*12/24),"bloop"))))),((I11-H11)*12)/365))</f>
        <v>18.70684932</v>
      </c>
      <c r="J26" s="199"/>
      <c r="O26" s="181"/>
    </row>
    <row r="27" ht="7.5" customHeight="1">
      <c r="A27" s="93"/>
      <c r="B27" s="93"/>
      <c r="C27" s="93"/>
      <c r="G27" s="200"/>
      <c r="H27" s="200"/>
      <c r="I27" s="201"/>
      <c r="J27" s="93"/>
      <c r="L27" s="96"/>
      <c r="M27" s="93"/>
      <c r="N27" s="93"/>
      <c r="O27" s="93"/>
    </row>
    <row r="28">
      <c r="A28" s="93"/>
      <c r="B28" s="93"/>
      <c r="C28" s="202"/>
      <c r="G28" s="203"/>
      <c r="H28" s="204" t="s">
        <v>90</v>
      </c>
      <c r="I28" s="205">
        <f>((I11-H11)*12)/52</f>
        <v>131.3076923</v>
      </c>
    </row>
    <row r="29">
      <c r="A29" s="93"/>
      <c r="B29" s="93"/>
      <c r="C29" s="202"/>
      <c r="G29" s="203"/>
      <c r="H29" s="204" t="s">
        <v>92</v>
      </c>
      <c r="I29" s="205">
        <f>(I11-H11)</f>
        <v>569</v>
      </c>
    </row>
    <row r="30" ht="17.25" customHeight="1">
      <c r="A30" s="165"/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7"/>
      <c r="M30" s="165"/>
      <c r="N30" s="165"/>
      <c r="O30" s="165"/>
    </row>
    <row r="31" ht="17.25" customHeight="1">
      <c r="A31" s="165"/>
      <c r="B31" s="165"/>
      <c r="C31" s="165"/>
      <c r="D31" s="165"/>
      <c r="E31" s="165"/>
      <c r="F31" s="165"/>
      <c r="G31" s="209" t="s">
        <v>95</v>
      </c>
      <c r="H31" s="210"/>
      <c r="I31" s="210"/>
      <c r="J31" s="210"/>
      <c r="K31" s="165"/>
      <c r="L31" s="167"/>
      <c r="M31" s="165"/>
      <c r="N31" s="165"/>
      <c r="O31" s="165"/>
    </row>
    <row r="32" ht="17.25" customHeight="1">
      <c r="A32" s="165"/>
      <c r="B32" s="165"/>
      <c r="C32" s="165"/>
      <c r="D32" s="165"/>
      <c r="E32" s="165"/>
      <c r="F32" s="165"/>
      <c r="G32" s="211">
        <f>if(D38="", "Select a Pay Schedule",if(D38="Weekly", (((((F39+F40))*52)/12)*(F41/100)), if(D38="Bi-Weekly", ((((((F39)+F40))*24)/12)*(F41/100)), if(D38="Monthly",((F39+F40)*(F41/100)),if(D38="Bi-Monthly",(((F39-F40)*2)*(F41/100)))))))</f>
        <v>630</v>
      </c>
      <c r="K32" s="165"/>
      <c r="L32" s="167"/>
      <c r="M32" s="165"/>
      <c r="N32" s="165"/>
      <c r="O32" s="165"/>
    </row>
    <row r="33" ht="9.0" customHeight="1">
      <c r="A33" s="168"/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3"/>
      <c r="M33" s="212"/>
      <c r="N33" s="212"/>
      <c r="O33" s="212"/>
    </row>
    <row r="34">
      <c r="A34" s="93"/>
      <c r="B34" s="93"/>
      <c r="C34" s="202"/>
      <c r="D34" s="202"/>
      <c r="E34" s="202"/>
      <c r="F34" s="202"/>
      <c r="G34" s="202"/>
      <c r="H34" s="202"/>
      <c r="I34" s="202"/>
      <c r="J34" s="202"/>
      <c r="K34" s="202"/>
      <c r="L34" s="215"/>
      <c r="M34" s="202"/>
      <c r="N34" s="202"/>
      <c r="O34" s="181"/>
    </row>
    <row r="35" ht="33.0" customHeight="1">
      <c r="A35" s="216"/>
      <c r="B35" s="216"/>
      <c r="C35" s="217" t="s">
        <v>98</v>
      </c>
      <c r="I35" s="218" t="s">
        <v>100</v>
      </c>
      <c r="O35" s="215"/>
    </row>
    <row r="36">
      <c r="A36" s="93"/>
      <c r="B36" s="93"/>
      <c r="C36" s="202"/>
      <c r="D36" s="202"/>
      <c r="E36" s="202"/>
      <c r="F36" s="202"/>
      <c r="G36" s="202"/>
      <c r="H36" s="202"/>
      <c r="I36" s="202"/>
      <c r="J36" s="202"/>
      <c r="K36" s="202"/>
      <c r="L36" s="215"/>
      <c r="M36" s="202"/>
      <c r="N36" s="202"/>
      <c r="O36" s="181"/>
    </row>
    <row r="37">
      <c r="A37" s="216"/>
      <c r="B37" s="216"/>
      <c r="C37" s="219"/>
      <c r="D37" s="220" t="s">
        <v>78</v>
      </c>
      <c r="H37" s="221"/>
      <c r="I37" s="202"/>
      <c r="J37" s="222" t="s">
        <v>104</v>
      </c>
      <c r="L37" s="223">
        <f>Countif('Credit Card Tracker'!H13:H59,"&gt;0")</f>
        <v>2</v>
      </c>
      <c r="M37" s="202"/>
      <c r="N37" s="202"/>
      <c r="O37" s="202"/>
    </row>
    <row r="38">
      <c r="B38" s="176"/>
      <c r="C38" s="176"/>
      <c r="D38" s="225" t="s">
        <v>96</v>
      </c>
      <c r="E38" s="92"/>
      <c r="F38" s="92"/>
      <c r="G38" s="95"/>
      <c r="H38" s="221"/>
      <c r="I38" s="202"/>
      <c r="J38" s="226" t="s">
        <v>106</v>
      </c>
      <c r="K38" s="210"/>
      <c r="L38" s="229">
        <f>SUM('Credit Card Tracker'!H13:H59)</f>
        <v>201</v>
      </c>
      <c r="M38" s="202"/>
      <c r="N38" s="202"/>
      <c r="O38" s="202"/>
    </row>
    <row r="39">
      <c r="A39" s="231"/>
      <c r="B39" s="231"/>
      <c r="C39" s="232"/>
      <c r="D39" s="233" t="s">
        <v>107</v>
      </c>
      <c r="F39" s="234">
        <v>2100.0</v>
      </c>
      <c r="G39" s="177"/>
      <c r="H39" s="221"/>
      <c r="I39" s="202"/>
      <c r="J39" s="181"/>
      <c r="K39" s="181"/>
      <c r="L39" s="215"/>
      <c r="M39" s="202"/>
      <c r="N39" s="202"/>
      <c r="O39" s="202"/>
    </row>
    <row r="40">
      <c r="A40" s="231"/>
      <c r="B40" s="231"/>
      <c r="C40" s="232"/>
      <c r="D40" s="233" t="s">
        <v>108</v>
      </c>
      <c r="F40" s="235">
        <v>0.0</v>
      </c>
      <c r="G40" s="99"/>
      <c r="H40" s="221"/>
      <c r="I40" s="202"/>
      <c r="J40" s="202"/>
      <c r="K40" s="202"/>
      <c r="L40" s="215"/>
      <c r="M40" s="202"/>
      <c r="N40" s="202"/>
      <c r="O40" s="202"/>
    </row>
    <row r="41">
      <c r="A41" s="236"/>
      <c r="B41" s="236"/>
      <c r="C41" s="237"/>
      <c r="D41" s="238" t="s">
        <v>95</v>
      </c>
      <c r="E41" s="155"/>
      <c r="F41" s="239">
        <v>15.0</v>
      </c>
      <c r="G41" s="104"/>
      <c r="H41" s="221"/>
      <c r="I41" s="202"/>
      <c r="J41" s="202"/>
      <c r="K41" s="202"/>
      <c r="L41" s="215"/>
      <c r="M41" s="202"/>
      <c r="N41" s="202"/>
      <c r="O41" s="202"/>
    </row>
    <row r="42">
      <c r="A42" s="176"/>
      <c r="B42" s="176"/>
      <c r="C42" s="240"/>
      <c r="D42" s="241" t="s">
        <v>110</v>
      </c>
      <c r="F42" s="243">
        <f>if(D38="", "Select a Pay Schedule",if(D38="Weekly",(((F39+F40)*52/12)-G32), if(D38="Bi-Weekly", (((((F39+F40)*52)/2)/12)-G32), if(D38="Monthly",((F39+F40)-G32),if(D38="Bi-Monthly",(((F39+F40)*2)-G32))))))</f>
        <v>3570</v>
      </c>
      <c r="H42" s="244"/>
      <c r="I42" s="202"/>
      <c r="J42" s="202"/>
      <c r="K42" s="202"/>
      <c r="L42" s="215"/>
      <c r="M42" s="202"/>
      <c r="N42" s="202"/>
      <c r="O42" s="202"/>
    </row>
    <row r="43">
      <c r="A43" s="93"/>
      <c r="B43" s="93"/>
      <c r="C43" s="202"/>
      <c r="D43" s="202"/>
      <c r="E43" s="202"/>
      <c r="F43" s="202"/>
      <c r="G43" s="202"/>
      <c r="H43" s="221"/>
      <c r="I43" s="202"/>
      <c r="J43" s="202"/>
      <c r="K43" s="202"/>
      <c r="L43" s="215"/>
      <c r="M43" s="202"/>
      <c r="N43" s="202"/>
      <c r="O43" s="202"/>
    </row>
    <row r="44">
      <c r="A44" s="176"/>
      <c r="B44" s="176"/>
      <c r="C44" s="181"/>
      <c r="D44" s="181"/>
      <c r="E44" s="202"/>
      <c r="F44" s="202"/>
      <c r="G44" s="202"/>
      <c r="H44" s="221"/>
      <c r="I44" s="202"/>
      <c r="J44" s="202"/>
      <c r="K44" s="202"/>
      <c r="L44" s="215"/>
      <c r="M44" s="202"/>
      <c r="N44" s="202"/>
      <c r="O44" s="202"/>
    </row>
    <row r="45">
      <c r="A45" s="93"/>
      <c r="B45" s="93"/>
      <c r="C45" s="202"/>
      <c r="D45" s="202"/>
      <c r="E45" s="202"/>
      <c r="F45" s="202"/>
      <c r="G45" s="202"/>
      <c r="H45" s="221"/>
      <c r="I45" s="202"/>
      <c r="J45" s="202"/>
      <c r="K45" s="202"/>
      <c r="L45" s="215"/>
      <c r="M45" s="202"/>
      <c r="N45" s="202"/>
      <c r="O45" s="202"/>
    </row>
    <row r="46" ht="9.0" customHeight="1">
      <c r="A46" s="245"/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8"/>
      <c r="M46" s="246"/>
      <c r="N46" s="246"/>
      <c r="O46" s="246"/>
    </row>
    <row r="47">
      <c r="A47" s="176"/>
      <c r="B47" s="176"/>
      <c r="C47" s="181"/>
      <c r="D47" s="181"/>
      <c r="E47" s="202"/>
      <c r="F47" s="202"/>
      <c r="G47" s="202"/>
      <c r="H47" s="221"/>
      <c r="I47" s="202"/>
      <c r="J47" s="202"/>
      <c r="K47" s="202"/>
      <c r="L47" s="215"/>
      <c r="M47" s="202"/>
      <c r="N47" s="202"/>
      <c r="O47" s="202"/>
    </row>
    <row r="48" ht="33.0" customHeight="1">
      <c r="A48" s="250"/>
      <c r="B48" s="250" t="s">
        <v>111</v>
      </c>
    </row>
    <row r="49">
      <c r="A49" s="93"/>
      <c r="B49" s="93"/>
      <c r="C49" s="202"/>
      <c r="D49" s="202"/>
      <c r="E49" s="202"/>
      <c r="F49" s="202"/>
      <c r="G49" s="202"/>
      <c r="H49" s="202"/>
      <c r="I49" s="202"/>
      <c r="J49" s="202"/>
      <c r="K49" s="202"/>
      <c r="L49" s="215"/>
      <c r="M49" s="202"/>
      <c r="N49" s="202"/>
      <c r="O49" s="202"/>
    </row>
    <row r="50">
      <c r="A50" s="93"/>
      <c r="B50" s="251"/>
      <c r="C50" s="252"/>
      <c r="D50" s="253" t="s">
        <v>112</v>
      </c>
      <c r="E50" s="252"/>
      <c r="F50" s="254" t="s">
        <v>82</v>
      </c>
      <c r="G50" s="255" t="s">
        <v>113</v>
      </c>
      <c r="H50" s="256"/>
      <c r="I50" s="252"/>
      <c r="J50" s="253" t="s">
        <v>114</v>
      </c>
      <c r="K50" s="252"/>
      <c r="L50" s="254" t="s">
        <v>82</v>
      </c>
      <c r="M50" s="258" t="s">
        <v>113</v>
      </c>
      <c r="N50" s="259"/>
      <c r="O50" s="260"/>
    </row>
    <row r="51">
      <c r="A51" s="93"/>
      <c r="B51" s="261"/>
      <c r="C51" s="262" t="s">
        <v>115</v>
      </c>
      <c r="D51" s="117"/>
      <c r="E51" s="263">
        <v>1000.0</v>
      </c>
      <c r="F51" s="264">
        <v>1.0</v>
      </c>
      <c r="G51" s="187" t="b">
        <v>1</v>
      </c>
      <c r="H51" s="265"/>
      <c r="I51" s="262" t="s">
        <v>116</v>
      </c>
      <c r="J51" s="117"/>
      <c r="K51" s="263">
        <v>50.0</v>
      </c>
      <c r="L51" s="264">
        <v>13.0</v>
      </c>
      <c r="M51" s="266" t="b">
        <v>0</v>
      </c>
      <c r="N51" s="202"/>
      <c r="O51" s="267"/>
    </row>
    <row r="52">
      <c r="A52" s="93"/>
      <c r="B52" s="261"/>
      <c r="C52" s="262" t="s">
        <v>5</v>
      </c>
      <c r="D52" s="117"/>
      <c r="E52" s="263">
        <v>100.0</v>
      </c>
      <c r="F52" s="264">
        <v>15.0</v>
      </c>
      <c r="G52" s="187" t="b">
        <v>0</v>
      </c>
      <c r="H52" s="265"/>
      <c r="I52" s="262" t="s">
        <v>117</v>
      </c>
      <c r="J52" s="117"/>
      <c r="K52" s="263">
        <v>200.0</v>
      </c>
      <c r="L52" s="264">
        <v>15.0</v>
      </c>
      <c r="M52" s="266" t="b">
        <v>1</v>
      </c>
      <c r="N52" s="202"/>
      <c r="O52" s="267"/>
    </row>
    <row r="53">
      <c r="A53" s="93"/>
      <c r="B53" s="261"/>
      <c r="C53" s="262" t="s">
        <v>118</v>
      </c>
      <c r="D53" s="117"/>
      <c r="E53" s="263">
        <v>80.0</v>
      </c>
      <c r="F53" s="264"/>
      <c r="G53" s="187" t="b">
        <v>0</v>
      </c>
      <c r="H53" s="265"/>
      <c r="I53" s="262"/>
      <c r="J53" s="117"/>
      <c r="K53" s="268"/>
      <c r="L53" s="264"/>
      <c r="M53" s="202" t="b">
        <v>0</v>
      </c>
      <c r="N53" s="202"/>
      <c r="O53" s="267"/>
    </row>
    <row r="54">
      <c r="A54" s="93"/>
      <c r="B54" s="261"/>
      <c r="C54" s="262"/>
      <c r="D54" s="117"/>
      <c r="E54" s="268"/>
      <c r="F54" s="269"/>
      <c r="G54" s="187" t="b">
        <v>0</v>
      </c>
      <c r="H54" s="265"/>
      <c r="I54" s="262"/>
      <c r="J54" s="117"/>
      <c r="K54" s="268"/>
      <c r="L54" s="269"/>
      <c r="M54" s="202" t="b">
        <v>0</v>
      </c>
      <c r="N54" s="202"/>
      <c r="O54" s="267"/>
    </row>
    <row r="55">
      <c r="A55" s="93"/>
      <c r="B55" s="261"/>
      <c r="C55" s="262"/>
      <c r="D55" s="117"/>
      <c r="E55" s="268"/>
      <c r="F55" s="269"/>
      <c r="G55" s="187" t="b">
        <v>0</v>
      </c>
      <c r="H55" s="265"/>
      <c r="I55" s="262"/>
      <c r="J55" s="117"/>
      <c r="K55" s="268"/>
      <c r="L55" s="269"/>
      <c r="M55" s="202" t="b">
        <v>0</v>
      </c>
      <c r="N55" s="202"/>
      <c r="O55" s="267"/>
    </row>
    <row r="56">
      <c r="A56" s="93"/>
      <c r="B56" s="261"/>
      <c r="C56" s="262"/>
      <c r="D56" s="117"/>
      <c r="E56" s="268"/>
      <c r="F56" s="269"/>
      <c r="G56" s="82" t="b">
        <v>0</v>
      </c>
      <c r="H56" s="265"/>
      <c r="I56" s="262"/>
      <c r="J56" s="117"/>
      <c r="K56" s="268"/>
      <c r="L56" s="269"/>
      <c r="M56" s="202" t="b">
        <v>0</v>
      </c>
      <c r="N56" s="202"/>
      <c r="O56" s="267"/>
    </row>
    <row r="57">
      <c r="A57" s="93"/>
      <c r="B57" s="261"/>
      <c r="C57" s="262"/>
      <c r="D57" s="117"/>
      <c r="E57" s="268"/>
      <c r="F57" s="269"/>
      <c r="G57" s="82" t="b">
        <v>0</v>
      </c>
      <c r="H57" s="265"/>
      <c r="I57" s="262"/>
      <c r="J57" s="117"/>
      <c r="K57" s="268"/>
      <c r="L57" s="269"/>
      <c r="M57" s="202" t="b">
        <v>0</v>
      </c>
      <c r="N57" s="202"/>
      <c r="O57" s="267"/>
    </row>
    <row r="58">
      <c r="A58" s="93"/>
      <c r="B58" s="261"/>
      <c r="C58" s="262"/>
      <c r="E58" s="270"/>
      <c r="F58" s="269"/>
      <c r="G58" s="82" t="b">
        <v>0</v>
      </c>
      <c r="H58" s="265"/>
      <c r="I58" s="262"/>
      <c r="J58" s="117"/>
      <c r="K58" s="268"/>
      <c r="L58" s="269"/>
      <c r="M58" s="202" t="b">
        <v>0</v>
      </c>
      <c r="N58" s="202"/>
      <c r="O58" s="267"/>
    </row>
    <row r="59">
      <c r="A59" s="93"/>
      <c r="B59" s="261"/>
      <c r="C59" s="271"/>
      <c r="D59" s="272" t="s">
        <v>122</v>
      </c>
      <c r="E59" s="268">
        <f>SUM(E51:E58)</f>
        <v>1180</v>
      </c>
      <c r="F59" s="264"/>
      <c r="H59" s="265"/>
      <c r="I59" s="271"/>
      <c r="J59" s="272" t="s">
        <v>122</v>
      </c>
      <c r="K59" s="268">
        <f>SUM(K51:K58)</f>
        <v>250</v>
      </c>
      <c r="L59" s="264"/>
      <c r="M59" s="274"/>
      <c r="N59" s="265"/>
      <c r="O59" s="267"/>
    </row>
    <row r="60">
      <c r="A60" s="93"/>
      <c r="B60" s="261"/>
      <c r="C60" s="271"/>
      <c r="D60" s="271"/>
      <c r="E60" s="265"/>
      <c r="F60" s="264"/>
      <c r="H60" s="265"/>
      <c r="I60" s="271"/>
      <c r="J60" s="272"/>
      <c r="K60" s="265"/>
      <c r="L60" s="264"/>
      <c r="M60" s="265"/>
      <c r="N60" s="265"/>
      <c r="O60" s="267"/>
    </row>
    <row r="61">
      <c r="A61" s="93"/>
      <c r="B61" s="261"/>
      <c r="C61" s="275"/>
      <c r="D61" s="275" t="s">
        <v>124</v>
      </c>
      <c r="E61" s="276"/>
      <c r="F61" s="277" t="s">
        <v>82</v>
      </c>
      <c r="H61" s="265"/>
      <c r="I61" s="275"/>
      <c r="J61" s="278" t="s">
        <v>125</v>
      </c>
      <c r="K61" s="276"/>
      <c r="L61" s="277" t="s">
        <v>82</v>
      </c>
      <c r="M61" s="265"/>
      <c r="N61" s="265"/>
      <c r="O61" s="267"/>
    </row>
    <row r="62">
      <c r="A62" s="93"/>
      <c r="B62" s="261"/>
      <c r="C62" s="262" t="s">
        <v>126</v>
      </c>
      <c r="D62" s="117"/>
      <c r="E62" s="263">
        <v>400.0</v>
      </c>
      <c r="F62" s="269"/>
      <c r="G62" s="82" t="b">
        <v>0</v>
      </c>
      <c r="H62" s="265"/>
      <c r="I62" s="262" t="s">
        <v>127</v>
      </c>
      <c r="J62" s="117"/>
      <c r="K62" s="263">
        <v>400.0</v>
      </c>
      <c r="L62" s="264">
        <v>17.0</v>
      </c>
      <c r="M62" s="265" t="b">
        <v>0</v>
      </c>
      <c r="N62" s="265"/>
      <c r="O62" s="267"/>
    </row>
    <row r="63">
      <c r="A63" s="93"/>
      <c r="B63" s="261"/>
      <c r="C63" s="262" t="s">
        <v>18</v>
      </c>
      <c r="D63" s="117"/>
      <c r="E63" s="263">
        <v>250.0</v>
      </c>
      <c r="F63" s="269"/>
      <c r="G63" s="82" t="b">
        <v>0</v>
      </c>
      <c r="H63" s="265"/>
      <c r="I63" s="262" t="s">
        <v>128</v>
      </c>
      <c r="J63" s="117"/>
      <c r="K63" s="263">
        <v>50.0</v>
      </c>
      <c r="L63" s="264"/>
      <c r="M63" s="265" t="b">
        <v>0</v>
      </c>
      <c r="N63" s="265"/>
      <c r="O63" s="267"/>
    </row>
    <row r="64">
      <c r="A64" s="93"/>
      <c r="B64" s="261"/>
      <c r="C64" s="262"/>
      <c r="D64" s="117"/>
      <c r="E64" s="268"/>
      <c r="F64" s="269"/>
      <c r="G64" s="82" t="b">
        <v>0</v>
      </c>
      <c r="H64" s="265"/>
      <c r="I64" s="262"/>
      <c r="J64" s="117"/>
      <c r="K64" s="268"/>
      <c r="L64" s="269"/>
      <c r="M64" s="265" t="b">
        <v>0</v>
      </c>
      <c r="N64" s="265"/>
      <c r="O64" s="267"/>
    </row>
    <row r="65">
      <c r="A65" s="93"/>
      <c r="B65" s="261"/>
      <c r="C65" s="262"/>
      <c r="D65" s="117"/>
      <c r="E65" s="268"/>
      <c r="F65" s="269"/>
      <c r="G65" s="187" t="b">
        <v>0</v>
      </c>
      <c r="H65" s="265"/>
      <c r="I65" s="262"/>
      <c r="J65" s="117"/>
      <c r="K65" s="268"/>
      <c r="L65" s="269"/>
      <c r="M65" s="265" t="b">
        <v>0</v>
      </c>
      <c r="N65" s="265"/>
      <c r="O65" s="267"/>
    </row>
    <row r="66">
      <c r="A66" s="93"/>
      <c r="B66" s="261"/>
      <c r="C66" s="262"/>
      <c r="D66" s="117"/>
      <c r="E66" s="268"/>
      <c r="F66" s="269"/>
      <c r="G66" s="82" t="b">
        <v>0</v>
      </c>
      <c r="H66" s="265"/>
      <c r="I66" s="262"/>
      <c r="J66" s="117"/>
      <c r="K66" s="268"/>
      <c r="L66" s="269"/>
      <c r="M66" s="265" t="b">
        <v>0</v>
      </c>
      <c r="N66" s="265"/>
      <c r="O66" s="267"/>
    </row>
    <row r="67">
      <c r="A67" s="93"/>
      <c r="B67" s="261"/>
      <c r="C67" s="262"/>
      <c r="D67" s="117"/>
      <c r="E67" s="268"/>
      <c r="F67" s="269"/>
      <c r="G67" s="82" t="b">
        <v>0</v>
      </c>
      <c r="H67" s="265"/>
      <c r="I67" s="262"/>
      <c r="J67" s="117"/>
      <c r="K67" s="268"/>
      <c r="L67" s="269"/>
      <c r="M67" s="265" t="b">
        <v>0</v>
      </c>
      <c r="N67" s="265"/>
      <c r="O67" s="267"/>
    </row>
    <row r="68">
      <c r="A68" s="93"/>
      <c r="B68" s="261"/>
      <c r="C68" s="262"/>
      <c r="D68" s="117"/>
      <c r="E68" s="268"/>
      <c r="F68" s="269"/>
      <c r="G68" s="82" t="b">
        <v>0</v>
      </c>
      <c r="H68" s="265"/>
      <c r="I68" s="262"/>
      <c r="J68" s="117"/>
      <c r="K68" s="268"/>
      <c r="L68" s="269"/>
      <c r="M68" s="265" t="b">
        <v>0</v>
      </c>
      <c r="N68" s="265"/>
      <c r="O68" s="267"/>
    </row>
    <row r="69">
      <c r="A69" s="93"/>
      <c r="B69" s="261"/>
      <c r="C69" s="262"/>
      <c r="E69" s="270"/>
      <c r="F69" s="269"/>
      <c r="G69" s="82" t="b">
        <v>0</v>
      </c>
      <c r="H69" s="265"/>
      <c r="I69" s="262"/>
      <c r="J69" s="117"/>
      <c r="K69" s="268"/>
      <c r="L69" s="269"/>
      <c r="M69" s="265" t="b">
        <v>0</v>
      </c>
      <c r="N69" s="265"/>
      <c r="O69" s="267"/>
    </row>
    <row r="70">
      <c r="A70" s="93"/>
      <c r="B70" s="261"/>
      <c r="C70" s="271"/>
      <c r="D70" s="272" t="s">
        <v>122</v>
      </c>
      <c r="E70" s="268">
        <f>SUM(E62:E69)</f>
        <v>650</v>
      </c>
      <c r="F70" s="264"/>
      <c r="H70" s="265"/>
      <c r="I70" s="271"/>
      <c r="J70" s="272" t="s">
        <v>122</v>
      </c>
      <c r="K70" s="268">
        <f>SUM(K62:K69)</f>
        <v>450</v>
      </c>
      <c r="L70" s="264"/>
      <c r="M70" s="265"/>
      <c r="N70" s="265"/>
      <c r="O70" s="267"/>
    </row>
    <row r="71">
      <c r="A71" s="93"/>
      <c r="B71" s="261"/>
      <c r="C71" s="271"/>
      <c r="D71" s="272"/>
      <c r="E71" s="268"/>
      <c r="F71" s="264"/>
      <c r="H71" s="265"/>
      <c r="I71" s="271"/>
      <c r="J71" s="272"/>
      <c r="K71" s="265"/>
      <c r="L71" s="264"/>
      <c r="M71" s="265"/>
      <c r="N71" s="265"/>
      <c r="O71" s="267"/>
    </row>
    <row r="72">
      <c r="A72" s="93"/>
      <c r="B72" s="261"/>
      <c r="C72" s="275"/>
      <c r="D72" s="278" t="s">
        <v>129</v>
      </c>
      <c r="E72" s="279"/>
      <c r="F72" s="277" t="s">
        <v>82</v>
      </c>
      <c r="H72" s="265"/>
      <c r="I72" s="275"/>
      <c r="J72" s="278" t="s">
        <v>130</v>
      </c>
      <c r="K72" s="276"/>
      <c r="L72" s="277" t="s">
        <v>82</v>
      </c>
      <c r="M72" s="265"/>
      <c r="N72" s="265"/>
      <c r="O72" s="267"/>
    </row>
    <row r="73">
      <c r="A73" s="93"/>
      <c r="B73" s="261"/>
      <c r="C73" s="262" t="s">
        <v>131</v>
      </c>
      <c r="D73" s="117"/>
      <c r="E73" s="263">
        <v>20.0</v>
      </c>
      <c r="F73" s="264">
        <v>5.0</v>
      </c>
      <c r="G73" s="187" t="b">
        <v>1</v>
      </c>
      <c r="H73" s="265"/>
      <c r="I73" s="262" t="s">
        <v>17</v>
      </c>
      <c r="J73" s="117"/>
      <c r="K73" s="263">
        <v>100.0</v>
      </c>
      <c r="L73" s="269"/>
      <c r="M73" s="265" t="b">
        <v>0</v>
      </c>
      <c r="N73" s="265"/>
      <c r="O73" s="267"/>
    </row>
    <row r="74">
      <c r="A74" s="93"/>
      <c r="B74" s="261"/>
      <c r="C74" s="262" t="s">
        <v>132</v>
      </c>
      <c r="D74" s="117"/>
      <c r="E74" s="263">
        <v>30.0</v>
      </c>
      <c r="F74" s="264"/>
      <c r="G74" s="82" t="b">
        <v>0</v>
      </c>
      <c r="H74" s="265"/>
      <c r="I74" s="262"/>
      <c r="J74" s="117"/>
      <c r="K74" s="263"/>
      <c r="L74" s="269"/>
      <c r="M74" s="265" t="b">
        <v>0</v>
      </c>
      <c r="N74" s="265"/>
      <c r="O74" s="267"/>
    </row>
    <row r="75">
      <c r="A75" s="93"/>
      <c r="B75" s="261"/>
      <c r="C75" s="262" t="s">
        <v>133</v>
      </c>
      <c r="D75" s="117"/>
      <c r="E75" s="263">
        <v>10.0</v>
      </c>
      <c r="F75" s="264"/>
      <c r="G75" s="82" t="b">
        <v>0</v>
      </c>
      <c r="H75" s="265"/>
      <c r="I75" s="262"/>
      <c r="J75" s="117"/>
      <c r="K75" s="268"/>
      <c r="L75" s="269"/>
      <c r="M75" s="265" t="b">
        <v>0</v>
      </c>
      <c r="N75" s="265"/>
      <c r="O75" s="267"/>
    </row>
    <row r="76">
      <c r="A76" s="93"/>
      <c r="B76" s="261"/>
      <c r="C76" s="262" t="s">
        <v>134</v>
      </c>
      <c r="D76" s="117"/>
      <c r="E76" s="263">
        <v>10.0</v>
      </c>
      <c r="F76" s="269"/>
      <c r="G76" s="82" t="b">
        <v>0</v>
      </c>
      <c r="H76" s="265"/>
      <c r="I76" s="262"/>
      <c r="J76" s="117"/>
      <c r="K76" s="268"/>
      <c r="L76" s="269"/>
      <c r="M76" s="265" t="b">
        <v>0</v>
      </c>
      <c r="N76" s="265"/>
      <c r="O76" s="267"/>
    </row>
    <row r="77">
      <c r="A77" s="93"/>
      <c r="B77" s="261"/>
      <c r="C77" s="262"/>
      <c r="D77" s="117"/>
      <c r="E77" s="268"/>
      <c r="F77" s="269"/>
      <c r="G77" s="82" t="b">
        <v>0</v>
      </c>
      <c r="H77" s="265"/>
      <c r="I77" s="262"/>
      <c r="J77" s="117"/>
      <c r="K77" s="268"/>
      <c r="L77" s="269"/>
      <c r="M77" s="265" t="b">
        <v>0</v>
      </c>
      <c r="N77" s="265"/>
      <c r="O77" s="267"/>
    </row>
    <row r="78">
      <c r="A78" s="93"/>
      <c r="B78" s="261"/>
      <c r="C78" s="262"/>
      <c r="D78" s="117"/>
      <c r="E78" s="268"/>
      <c r="F78" s="269"/>
      <c r="G78" s="82" t="b">
        <v>0</v>
      </c>
      <c r="H78" s="265"/>
      <c r="J78" s="272" t="s">
        <v>122</v>
      </c>
      <c r="K78" s="268">
        <f>SUM(K73:K75)</f>
        <v>100</v>
      </c>
      <c r="M78" s="265" t="b">
        <v>0</v>
      </c>
      <c r="N78" s="265"/>
      <c r="O78" s="267"/>
    </row>
    <row r="79">
      <c r="A79" s="93"/>
      <c r="B79" s="261"/>
      <c r="C79" s="262"/>
      <c r="D79" s="117"/>
      <c r="E79" s="268"/>
      <c r="F79" s="269"/>
      <c r="G79" s="187" t="b">
        <v>0</v>
      </c>
      <c r="H79" s="265"/>
      <c r="K79" s="268"/>
      <c r="M79" s="274"/>
      <c r="N79" s="265"/>
      <c r="O79" s="267"/>
    </row>
    <row r="80">
      <c r="A80" s="263"/>
      <c r="B80" s="263"/>
      <c r="C80" s="262"/>
      <c r="D80" s="117"/>
      <c r="E80" s="263"/>
      <c r="F80" s="263"/>
      <c r="G80" s="263" t="b">
        <v>0</v>
      </c>
      <c r="H80" s="263"/>
      <c r="I80" s="280"/>
      <c r="J80" s="281" t="s">
        <v>135</v>
      </c>
      <c r="K80" s="281" t="s">
        <v>136</v>
      </c>
      <c r="L80" s="277"/>
      <c r="M80" s="265"/>
      <c r="N80" s="265"/>
      <c r="O80" s="267"/>
    </row>
    <row r="81">
      <c r="A81" s="282"/>
      <c r="B81" s="282"/>
      <c r="C81" s="282"/>
      <c r="D81" s="272" t="s">
        <v>122</v>
      </c>
      <c r="E81" s="268">
        <f>SUM(E73:E80)</f>
        <v>70</v>
      </c>
      <c r="F81" s="282"/>
      <c r="G81" s="282"/>
      <c r="H81" s="282"/>
      <c r="I81" s="262" t="str">
        <f>if('Large Purchase Calculator'!B14=TRUE, "Saving to buy "&amp;'Large Purchase Calculator'!B6," ")</f>
        <v>Saving to buy Vic20</v>
      </c>
      <c r="J81" s="117"/>
      <c r="K81" s="263">
        <f>if('Large Purchase Calculator'!B14=TRUE, 'Large Purchase Calculator'!B13," ")</f>
        <v>100</v>
      </c>
      <c r="M81" s="282"/>
      <c r="N81" s="282"/>
      <c r="O81" s="282"/>
    </row>
    <row r="82">
      <c r="A82" s="282"/>
      <c r="B82" s="282"/>
      <c r="C82" s="282"/>
      <c r="D82" s="272"/>
      <c r="E82" s="265"/>
      <c r="F82" s="282"/>
      <c r="G82" s="282"/>
      <c r="H82" s="282"/>
      <c r="I82" s="265"/>
      <c r="J82" s="274"/>
      <c r="K82" s="274"/>
      <c r="L82" s="264"/>
      <c r="M82" s="282"/>
      <c r="N82" s="282"/>
      <c r="O82" s="282"/>
    </row>
    <row r="83">
      <c r="A83" s="282"/>
      <c r="B83" s="282"/>
      <c r="C83" s="282"/>
      <c r="F83" s="282"/>
      <c r="G83" s="282"/>
      <c r="H83" s="282"/>
      <c r="M83" s="282"/>
      <c r="N83" s="282"/>
      <c r="O83" s="282"/>
    </row>
    <row r="84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</row>
    <row r="86">
      <c r="A86" s="284"/>
      <c r="B86" s="284"/>
      <c r="C86" s="285"/>
      <c r="D86" s="285"/>
      <c r="E86" s="285"/>
      <c r="F86" s="285"/>
      <c r="G86" s="286" t="s">
        <v>137</v>
      </c>
      <c r="I86" s="287">
        <f>SUM(E73:E80,E62:E69,E51:E58,K51:K58,K62:K69,K73:K77,K81)</f>
        <v>2800</v>
      </c>
      <c r="K86" s="285"/>
      <c r="L86" s="288"/>
      <c r="M86" s="285"/>
      <c r="N86" s="285"/>
      <c r="O86" s="289"/>
    </row>
    <row r="87">
      <c r="A87" s="93"/>
      <c r="B87" s="93"/>
      <c r="C87" s="202"/>
      <c r="D87" s="202"/>
      <c r="E87" s="202"/>
      <c r="F87" s="202"/>
      <c r="G87" s="202"/>
      <c r="H87" s="202"/>
      <c r="I87" s="202"/>
      <c r="J87" s="202"/>
      <c r="K87" s="202"/>
      <c r="L87" s="215"/>
      <c r="M87" s="202"/>
      <c r="N87" s="202"/>
      <c r="O87" s="202"/>
    </row>
  </sheetData>
  <mergeCells count="76">
    <mergeCell ref="I65:J65"/>
    <mergeCell ref="I66:J66"/>
    <mergeCell ref="I81:J81"/>
    <mergeCell ref="G86:H86"/>
    <mergeCell ref="I86:J86"/>
    <mergeCell ref="I55:J55"/>
    <mergeCell ref="I56:J56"/>
    <mergeCell ref="I57:J57"/>
    <mergeCell ref="I58:J58"/>
    <mergeCell ref="I62:J62"/>
    <mergeCell ref="I63:J63"/>
    <mergeCell ref="I64:J64"/>
    <mergeCell ref="C73:D73"/>
    <mergeCell ref="C74:D74"/>
    <mergeCell ref="C75:D75"/>
    <mergeCell ref="C76:D76"/>
    <mergeCell ref="C77:D77"/>
    <mergeCell ref="C78:D78"/>
    <mergeCell ref="C79:D79"/>
    <mergeCell ref="C80:D80"/>
    <mergeCell ref="C54:D54"/>
    <mergeCell ref="C55:D55"/>
    <mergeCell ref="C56:D56"/>
    <mergeCell ref="C57:D57"/>
    <mergeCell ref="C58:D58"/>
    <mergeCell ref="C62:D62"/>
    <mergeCell ref="C63:D63"/>
    <mergeCell ref="B1:O1"/>
    <mergeCell ref="H4:H9"/>
    <mergeCell ref="I4:I9"/>
    <mergeCell ref="G15:H15"/>
    <mergeCell ref="F18:L19"/>
    <mergeCell ref="G23:J23"/>
    <mergeCell ref="G25:H25"/>
    <mergeCell ref="I25:J25"/>
    <mergeCell ref="I26:J26"/>
    <mergeCell ref="I28:J28"/>
    <mergeCell ref="I29:J29"/>
    <mergeCell ref="G31:J31"/>
    <mergeCell ref="G32:J32"/>
    <mergeCell ref="I35:N35"/>
    <mergeCell ref="C35:H35"/>
    <mergeCell ref="D37:G37"/>
    <mergeCell ref="J37:K37"/>
    <mergeCell ref="D38:G38"/>
    <mergeCell ref="J38:K38"/>
    <mergeCell ref="D39:E39"/>
    <mergeCell ref="F39:G39"/>
    <mergeCell ref="D40:E40"/>
    <mergeCell ref="F40:G40"/>
    <mergeCell ref="D41:E41"/>
    <mergeCell ref="F41:G41"/>
    <mergeCell ref="D42:E42"/>
    <mergeCell ref="F42:G42"/>
    <mergeCell ref="B48:O48"/>
    <mergeCell ref="C51:D51"/>
    <mergeCell ref="I51:J51"/>
    <mergeCell ref="C52:D52"/>
    <mergeCell ref="I52:J52"/>
    <mergeCell ref="C53:D53"/>
    <mergeCell ref="I53:J53"/>
    <mergeCell ref="I54:J54"/>
    <mergeCell ref="I68:J68"/>
    <mergeCell ref="I69:J69"/>
    <mergeCell ref="I73:J73"/>
    <mergeCell ref="I74:J74"/>
    <mergeCell ref="I75:J75"/>
    <mergeCell ref="I76:J76"/>
    <mergeCell ref="I77:J77"/>
    <mergeCell ref="C64:D64"/>
    <mergeCell ref="C65:D65"/>
    <mergeCell ref="C66:D66"/>
    <mergeCell ref="C67:D67"/>
    <mergeCell ref="I67:J67"/>
    <mergeCell ref="C68:D68"/>
    <mergeCell ref="C69:D69"/>
  </mergeCells>
  <conditionalFormatting sqref="J78">
    <cfRule type="expression" dxfId="0" priority="1">
      <formula>if(BN76:f72TRUE)</formula>
    </cfRule>
  </conditionalFormatting>
  <conditionalFormatting sqref="J78">
    <cfRule type="expression" dxfId="0" priority="2">
      <formula>if(N76,TRUE)</formula>
    </cfRule>
  </conditionalFormatting>
  <conditionalFormatting sqref="I81:J81">
    <cfRule type="expression" dxfId="0" priority="3">
      <formula>if(M77,TRUE)</formula>
    </cfRule>
  </conditionalFormatting>
  <conditionalFormatting sqref="C51:C80 D51:D83 E51:F51 I59:J61 I70:J72">
    <cfRule type="expression" dxfId="0" priority="4">
      <formula>if(G51,TRUE)</formula>
    </cfRule>
  </conditionalFormatting>
  <conditionalFormatting sqref="C51:C80 D51:D83 I59:J61 I70:J72">
    <cfRule type="expression" dxfId="0" priority="5">
      <formula>if(BG51:f72TRUE)</formula>
    </cfRule>
  </conditionalFormatting>
  <conditionalFormatting sqref="I51:J77">
    <cfRule type="expression" dxfId="0" priority="6">
      <formula>if(M51,TRUE)</formula>
    </cfRule>
  </conditionalFormatting>
  <dataValidations>
    <dataValidation type="list" allowBlank="1" sqref="I25">
      <formula1>'Back Door'!$A$18:$A$19</formula1>
    </dataValidation>
    <dataValidation type="list" allowBlank="1" sqref="F41">
      <formula1>'Back Door'!$C$3:$C$22</formula1>
    </dataValidation>
    <dataValidation type="list" allowBlank="1" showInputMessage="1" prompt="Weekly means you get paid once a week. Bi-Weekly means you get paid every other week. Monthly means you get paid once a month. " sqref="D38">
      <formula1>'Back Door'!$A$3:$A$6</formula1>
    </dataValidation>
    <dataValidation type="list" allowBlank="1" sqref="F51:F58 L51:L58 F62:F69 L62:L69 L73:L77 F73:F80">
      <formula1>'Back Door'!$E$4:$E$34</formula1>
    </dataValidation>
  </dataValidations>
  <hyperlinks>
    <hyperlink r:id="rId1" ref="G23"/>
  </hyperlinks>
  <drawing r:id="rId2"/>
  <extLst>
    <ext uri="{05C60535-1F16-4fd2-B633-F4F36F0B64E0}">
      <x14:sparklineGroups>
        <x14:sparklineGroup manualMin="0.0" type="column" displayEmptyCellsAs="gap" minAxisType="custom">
          <x14:colorSeries rgb="FF999999"/>
          <x14:sparklines>
            <x14:sparkline>
              <xm:f>Budget!I11</xm:f>
              <xm:sqref>I4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63"/>
    <col customWidth="1" min="6" max="6" width="13.25"/>
  </cols>
  <sheetData>
    <row r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3"/>
      <c r="B3" s="3"/>
      <c r="C3" s="3"/>
      <c r="D3" s="4"/>
      <c r="E3" s="3"/>
      <c r="F3" s="3"/>
    </row>
    <row r="4">
      <c r="A4" s="3"/>
      <c r="B4" s="3"/>
      <c r="C4" s="3"/>
      <c r="D4" s="4"/>
      <c r="E4" s="3"/>
      <c r="F4" s="3"/>
    </row>
    <row r="5">
      <c r="B5" s="6" t="s">
        <v>1</v>
      </c>
      <c r="C5" s="7" t="s">
        <v>3</v>
      </c>
      <c r="D5" s="7" t="s">
        <v>4</v>
      </c>
      <c r="F5" s="6"/>
    </row>
    <row r="6">
      <c r="B6" s="7" t="s">
        <v>5</v>
      </c>
      <c r="C6" s="12">
        <f>IFERROR((VLOOKUP(B6,('Back Door'!$M$2:$N$47),2,0)),"")</f>
        <v>100</v>
      </c>
      <c r="D6" s="12">
        <f t="shared" ref="D6:D12" si="1">if(B6 = "", "",(Sumif($C$16:$C$86,"*"&amp; B6 &amp; "*",$D$16:$D$86)))</f>
        <v>90</v>
      </c>
      <c r="E6" s="22" t="str">
        <f>IFERROR(__xludf.DUMMYFUNCTION("IFERROR(SPARKLINE(D6, {""charttype"",""bar"";""max"",C6;""min"", 0;""color1"", IF(D6&lt;C6,""bbdba7"",IF(D6&gt;C6,""f59c95"",""f2e7b1""))}),""Select a category"")"),"")</f>
        <v/>
      </c>
      <c r="F6" s="23" t="s">
        <v>16</v>
      </c>
    </row>
    <row r="7">
      <c r="B7" s="7" t="s">
        <v>17</v>
      </c>
      <c r="C7" s="12">
        <f>IFERROR((VLOOKUP(B7,('Back Door'!$M$2:$N$47),2,0)),"")</f>
        <v>100</v>
      </c>
      <c r="D7" s="12">
        <f t="shared" si="1"/>
        <v>50</v>
      </c>
      <c r="E7" s="22" t="str">
        <f>IFERROR(__xludf.DUMMYFUNCTION("IFERROR(SPARKLINE(D7, {""charttype"",""bar"";""max"",C7;""min"", 0;""color1"", IF(D7&lt;C7,""bbdba7"",IF(D7&gt;C7,""f59c95"",""f2e7b1""))}),""Select a category"")"),"")</f>
        <v/>
      </c>
      <c r="F7" s="23" t="s">
        <v>16</v>
      </c>
    </row>
    <row r="8">
      <c r="B8" s="7" t="s">
        <v>18</v>
      </c>
      <c r="C8" s="12">
        <f>IFERROR((VLOOKUP(B8,('Back Door'!$M$2:$N$47),2,0)),"")</f>
        <v>250</v>
      </c>
      <c r="D8" s="12">
        <f t="shared" si="1"/>
        <v>300</v>
      </c>
      <c r="E8" s="22" t="str">
        <f>IFERROR(__xludf.DUMMYFUNCTION("IFERROR(SPARKLINE(D8, {""charttype"",""bar"";""max"",C8;""min"", 0;""color1"", IF(D8&lt;C8,""bbdba7"",IF(D8&gt;C8,""f59c95"",""f2e7b1""))}),""Select a category"")"),"")</f>
        <v/>
      </c>
      <c r="F8" s="23" t="s">
        <v>16</v>
      </c>
    </row>
    <row r="9">
      <c r="B9" s="7" t="s">
        <v>5</v>
      </c>
      <c r="C9" s="12">
        <f>IFERROR((VLOOKUP(B9,('Back Door'!$M$2:$N$47),2,0)),"")</f>
        <v>100</v>
      </c>
      <c r="D9" s="12">
        <f t="shared" si="1"/>
        <v>90</v>
      </c>
      <c r="E9" s="22" t="str">
        <f>IFERROR(__xludf.DUMMYFUNCTION("IFERROR(SPARKLINE(D9, {""charttype"",""bar"";""max"",C9;""min"", 0;""color1"", IF(D9&lt;C9,""bbdba7"",IF(D9&gt;C9,""f59c95"",""f2e7b1""))}),""Select a category"")"),"")</f>
        <v/>
      </c>
      <c r="F9" s="23" t="s">
        <v>16</v>
      </c>
    </row>
    <row r="10">
      <c r="B10" s="6"/>
      <c r="C10" s="12" t="str">
        <f>IFERROR((VLOOKUP(B10,('Back Door'!$M$2:$N$47),2,0)),"")</f>
        <v/>
      </c>
      <c r="D10" s="12" t="str">
        <f t="shared" si="1"/>
        <v/>
      </c>
      <c r="E10" s="22" t="str">
        <f>IFERROR(__xludf.DUMMYFUNCTION("IFERROR(SPARKLINE(D10, {""charttype"",""bar"";""max"",C10;""min"", 0;""color1"", IF(D10&lt;C10,""bbdba7"",IF(D10&gt;C10,""f59c95"",""f2e7b1""))}),""Select a category"")"),"Select a category")</f>
        <v>Select a category</v>
      </c>
      <c r="F10" s="23" t="s">
        <v>16</v>
      </c>
    </row>
    <row r="11">
      <c r="B11" s="6"/>
      <c r="C11" s="12" t="str">
        <f>IFERROR((VLOOKUP(B11,('Back Door'!$M$2:$N$47),2,0)),"")</f>
        <v/>
      </c>
      <c r="D11" s="12" t="str">
        <f t="shared" si="1"/>
        <v/>
      </c>
      <c r="E11" s="22" t="str">
        <f>IFERROR(__xludf.DUMMYFUNCTION("IFERROR(SPARKLINE(D11, {""charttype"",""bar"";""max"",C11;""min"", 0;""color1"", IF(D11&lt;C11,""bbdba7"",IF(D11&gt;C11,""f59c95"",""f2e7b1""))}),""Select a category"")"),"Select a category")</f>
        <v>Select a category</v>
      </c>
      <c r="F11" s="23" t="s">
        <v>16</v>
      </c>
    </row>
    <row r="12">
      <c r="B12" s="6"/>
      <c r="C12" s="12" t="str">
        <f>IFERROR((VLOOKUP(B12,('Back Door'!$M$2:$N$47),2,0)),"")</f>
        <v/>
      </c>
      <c r="D12" s="12" t="str">
        <f t="shared" si="1"/>
        <v/>
      </c>
      <c r="E12" s="22" t="str">
        <f>IFERROR(__xludf.DUMMYFUNCTION("IFERROR(SPARKLINE(D12, {""charttype"",""bar"";""max"",C12;""min"", 0;""color1"", IF(D12&lt;C12,""bbdba7"",IF(D12&gt;C12,""f59c95"",""f2e7b1""))}),""Select a category"")"),"Select a category")</f>
        <v>Select a category</v>
      </c>
      <c r="F12" s="23" t="s">
        <v>16</v>
      </c>
    </row>
    <row r="13">
      <c r="A13" s="3"/>
      <c r="B13" s="7"/>
      <c r="C13" s="7"/>
      <c r="E13" s="7"/>
      <c r="F13" s="23" t="s">
        <v>16</v>
      </c>
    </row>
    <row r="14">
      <c r="A14" s="3"/>
      <c r="B14" s="3"/>
      <c r="C14" s="3"/>
      <c r="D14" s="4"/>
      <c r="E14" s="3"/>
      <c r="F14" s="3"/>
    </row>
    <row r="15">
      <c r="A15" s="37"/>
      <c r="B15" s="38" t="s">
        <v>20</v>
      </c>
      <c r="C15" s="38" t="s">
        <v>21</v>
      </c>
      <c r="D15" s="38" t="s">
        <v>22</v>
      </c>
      <c r="E15" s="38" t="s">
        <v>23</v>
      </c>
      <c r="F15" s="37"/>
    </row>
    <row r="16">
      <c r="A16" s="39"/>
      <c r="B16" s="40">
        <v>44322.0</v>
      </c>
      <c r="C16" s="42" t="s">
        <v>5</v>
      </c>
      <c r="D16" s="42">
        <v>90.0</v>
      </c>
      <c r="E16" s="45" t="s">
        <v>25</v>
      </c>
      <c r="F16" s="39"/>
    </row>
    <row r="17">
      <c r="A17" s="39"/>
      <c r="B17" s="47">
        <v>44693.0</v>
      </c>
      <c r="C17" s="7" t="s">
        <v>17</v>
      </c>
      <c r="D17" s="50">
        <v>50.0</v>
      </c>
      <c r="E17" s="51"/>
      <c r="F17" s="39"/>
    </row>
    <row r="18">
      <c r="A18" s="39"/>
      <c r="B18" s="47">
        <v>44701.0</v>
      </c>
      <c r="C18" s="7" t="s">
        <v>18</v>
      </c>
      <c r="D18" s="50">
        <v>300.0</v>
      </c>
      <c r="E18" s="51" t="s">
        <v>27</v>
      </c>
      <c r="F18" s="39"/>
    </row>
    <row r="19">
      <c r="A19" s="39"/>
      <c r="B19" s="47"/>
      <c r="C19" s="6"/>
      <c r="D19" s="50"/>
      <c r="E19" s="51"/>
      <c r="F19" s="39"/>
    </row>
    <row r="20">
      <c r="A20" s="39"/>
      <c r="B20" s="47"/>
      <c r="C20" s="6"/>
      <c r="D20" s="50"/>
      <c r="E20" s="51"/>
      <c r="F20" s="39"/>
    </row>
    <row r="21">
      <c r="A21" s="39"/>
      <c r="B21" s="47"/>
      <c r="C21" s="6"/>
      <c r="D21" s="50"/>
      <c r="E21" s="51"/>
      <c r="F21" s="39"/>
    </row>
    <row r="22">
      <c r="A22" s="39"/>
      <c r="B22" s="47"/>
      <c r="C22" s="6"/>
      <c r="D22" s="50"/>
      <c r="E22" s="51"/>
      <c r="F22" s="39"/>
    </row>
    <row r="23">
      <c r="A23" s="39"/>
      <c r="B23" s="47"/>
      <c r="C23" s="6"/>
      <c r="D23" s="50"/>
      <c r="E23" s="51"/>
      <c r="F23" s="39"/>
    </row>
    <row r="24">
      <c r="A24" s="39"/>
      <c r="B24" s="47"/>
      <c r="C24" s="6"/>
      <c r="D24" s="50"/>
      <c r="E24" s="51"/>
      <c r="F24" s="39"/>
    </row>
    <row r="25">
      <c r="A25" s="39"/>
      <c r="B25" s="47"/>
      <c r="C25" s="6"/>
      <c r="D25" s="50"/>
      <c r="E25" s="51"/>
      <c r="F25" s="39"/>
    </row>
    <row r="26">
      <c r="A26" s="39"/>
      <c r="B26" s="47"/>
      <c r="C26" s="6"/>
      <c r="D26" s="50"/>
      <c r="E26" s="51"/>
      <c r="F26" s="39"/>
    </row>
    <row r="27">
      <c r="A27" s="39"/>
      <c r="B27" s="47"/>
      <c r="C27" s="6"/>
      <c r="D27" s="50"/>
      <c r="E27" s="51"/>
      <c r="F27" s="39"/>
    </row>
    <row r="28">
      <c r="A28" s="39"/>
      <c r="B28" s="47"/>
      <c r="C28" s="6"/>
      <c r="D28" s="50"/>
      <c r="E28" s="51"/>
      <c r="F28" s="39"/>
    </row>
    <row r="29">
      <c r="A29" s="39"/>
      <c r="B29" s="47"/>
      <c r="C29" s="6"/>
      <c r="D29" s="50"/>
      <c r="E29" s="51"/>
      <c r="F29" s="39"/>
    </row>
    <row r="30">
      <c r="A30" s="39"/>
      <c r="B30" s="47"/>
      <c r="C30" s="6"/>
      <c r="D30" s="50"/>
      <c r="E30" s="51"/>
      <c r="F30" s="39"/>
    </row>
    <row r="31">
      <c r="A31" s="39"/>
      <c r="B31" s="47"/>
      <c r="C31" s="6"/>
      <c r="D31" s="50"/>
      <c r="E31" s="51"/>
      <c r="F31" s="39"/>
    </row>
    <row r="32">
      <c r="A32" s="39"/>
      <c r="B32" s="47"/>
      <c r="C32" s="6"/>
      <c r="D32" s="50"/>
      <c r="E32" s="51"/>
      <c r="F32" s="39"/>
    </row>
    <row r="33">
      <c r="A33" s="39"/>
      <c r="B33" s="47"/>
      <c r="C33" s="6"/>
      <c r="D33" s="50"/>
      <c r="E33" s="51"/>
      <c r="F33" s="39"/>
    </row>
    <row r="34">
      <c r="A34" s="39"/>
      <c r="B34" s="47"/>
      <c r="C34" s="6"/>
      <c r="D34" s="50"/>
      <c r="E34" s="51"/>
      <c r="F34" s="39"/>
    </row>
    <row r="35">
      <c r="A35" s="39"/>
      <c r="B35" s="47"/>
      <c r="C35" s="6"/>
      <c r="D35" s="50"/>
      <c r="E35" s="51"/>
      <c r="F35" s="39"/>
    </row>
    <row r="36">
      <c r="A36" s="39"/>
      <c r="B36" s="47"/>
      <c r="C36" s="6"/>
      <c r="D36" s="50"/>
      <c r="E36" s="51"/>
      <c r="F36" s="39"/>
    </row>
    <row r="37">
      <c r="A37" s="39"/>
      <c r="B37" s="47"/>
      <c r="C37" s="6"/>
      <c r="D37" s="50"/>
      <c r="E37" s="51"/>
      <c r="F37" s="39"/>
    </row>
    <row r="38">
      <c r="A38" s="39"/>
      <c r="B38" s="47"/>
      <c r="C38" s="6"/>
      <c r="D38" s="50"/>
      <c r="E38" s="51"/>
      <c r="F38" s="39"/>
    </row>
    <row r="39">
      <c r="A39" s="39"/>
      <c r="B39" s="47"/>
      <c r="C39" s="6"/>
      <c r="D39" s="50"/>
      <c r="E39" s="51"/>
      <c r="F39" s="39"/>
    </row>
    <row r="40">
      <c r="A40" s="39"/>
      <c r="B40" s="47"/>
      <c r="C40" s="6"/>
      <c r="D40" s="50"/>
      <c r="E40" s="51"/>
      <c r="F40" s="39"/>
    </row>
    <row r="41">
      <c r="A41" s="39"/>
      <c r="B41" s="47"/>
      <c r="C41" s="6"/>
      <c r="D41" s="50"/>
      <c r="E41" s="51"/>
      <c r="F41" s="39"/>
    </row>
    <row r="42">
      <c r="A42" s="39"/>
      <c r="B42" s="47"/>
      <c r="C42" s="6"/>
      <c r="D42" s="50"/>
      <c r="E42" s="51"/>
      <c r="F42" s="39"/>
    </row>
    <row r="43">
      <c r="A43" s="39"/>
      <c r="B43" s="47"/>
      <c r="C43" s="6"/>
      <c r="D43" s="50"/>
      <c r="E43" s="51"/>
      <c r="F43" s="39"/>
    </row>
    <row r="44">
      <c r="A44" s="39"/>
      <c r="B44" s="47"/>
      <c r="C44" s="6"/>
      <c r="D44" s="50"/>
      <c r="E44" s="51"/>
      <c r="F44" s="39"/>
    </row>
    <row r="45">
      <c r="A45" s="39"/>
      <c r="B45" s="47"/>
      <c r="C45" s="6"/>
      <c r="D45" s="50"/>
      <c r="E45" s="51"/>
      <c r="F45" s="39"/>
    </row>
    <row r="46">
      <c r="A46" s="39"/>
      <c r="B46" s="47"/>
      <c r="C46" s="6"/>
      <c r="D46" s="50"/>
      <c r="E46" s="51"/>
      <c r="F46" s="39"/>
    </row>
    <row r="47">
      <c r="A47" s="39"/>
      <c r="B47" s="47"/>
      <c r="C47" s="6"/>
      <c r="D47" s="50"/>
      <c r="E47" s="51"/>
      <c r="F47" s="39"/>
    </row>
    <row r="48">
      <c r="A48" s="39"/>
      <c r="B48" s="47"/>
      <c r="C48" s="6"/>
      <c r="D48" s="50"/>
      <c r="E48" s="51"/>
      <c r="F48" s="39"/>
    </row>
    <row r="49">
      <c r="A49" s="39"/>
      <c r="B49" s="47"/>
      <c r="C49" s="6"/>
      <c r="D49" s="50"/>
      <c r="E49" s="51"/>
      <c r="F49" s="39"/>
    </row>
    <row r="50">
      <c r="A50" s="39"/>
      <c r="B50" s="47"/>
      <c r="C50" s="6"/>
      <c r="D50" s="50"/>
      <c r="E50" s="51"/>
      <c r="F50" s="39"/>
    </row>
    <row r="51">
      <c r="A51" s="39"/>
      <c r="B51" s="47"/>
      <c r="C51" s="6"/>
      <c r="D51" s="50"/>
      <c r="E51" s="51"/>
      <c r="F51" s="39"/>
    </row>
    <row r="52">
      <c r="A52" s="39"/>
      <c r="B52" s="47"/>
      <c r="C52" s="6"/>
      <c r="D52" s="50"/>
      <c r="E52" s="51"/>
      <c r="F52" s="39"/>
    </row>
    <row r="53">
      <c r="A53" s="39"/>
      <c r="B53" s="47"/>
      <c r="C53" s="6"/>
      <c r="D53" s="50"/>
      <c r="E53" s="51"/>
      <c r="F53" s="39"/>
    </row>
    <row r="54">
      <c r="A54" s="39"/>
      <c r="B54" s="47"/>
      <c r="C54" s="6"/>
      <c r="D54" s="50"/>
      <c r="E54" s="51"/>
      <c r="F54" s="39"/>
    </row>
    <row r="55">
      <c r="A55" s="39"/>
      <c r="B55" s="47"/>
      <c r="C55" s="6"/>
      <c r="D55" s="50"/>
      <c r="E55" s="51"/>
      <c r="F55" s="39"/>
    </row>
    <row r="56">
      <c r="A56" s="39"/>
      <c r="B56" s="47"/>
      <c r="C56" s="6"/>
      <c r="D56" s="50"/>
      <c r="E56" s="51"/>
      <c r="F56" s="39"/>
    </row>
    <row r="57">
      <c r="A57" s="39"/>
      <c r="B57" s="47"/>
      <c r="C57" s="6"/>
      <c r="D57" s="50"/>
      <c r="E57" s="51"/>
      <c r="F57" s="39"/>
    </row>
    <row r="58">
      <c r="A58" s="39"/>
      <c r="B58" s="47"/>
      <c r="C58" s="6"/>
      <c r="D58" s="50"/>
      <c r="E58" s="51"/>
      <c r="F58" s="39"/>
    </row>
    <row r="59">
      <c r="A59" s="39"/>
      <c r="B59" s="47"/>
      <c r="C59" s="6"/>
      <c r="D59" s="50"/>
      <c r="E59" s="51"/>
      <c r="F59" s="39"/>
    </row>
    <row r="60">
      <c r="A60" s="39"/>
      <c r="B60" s="47"/>
      <c r="C60" s="6"/>
      <c r="D60" s="50"/>
      <c r="E60" s="51"/>
      <c r="F60" s="39"/>
    </row>
    <row r="61">
      <c r="A61" s="39"/>
      <c r="B61" s="47"/>
      <c r="C61" s="6"/>
      <c r="D61" s="50"/>
      <c r="E61" s="51"/>
      <c r="F61" s="39"/>
    </row>
    <row r="62">
      <c r="A62" s="39"/>
      <c r="B62" s="47"/>
      <c r="C62" s="6"/>
      <c r="D62" s="50"/>
      <c r="E62" s="51"/>
      <c r="F62" s="39"/>
    </row>
    <row r="63">
      <c r="A63" s="39"/>
      <c r="B63" s="47"/>
      <c r="C63" s="6"/>
      <c r="D63" s="50"/>
      <c r="E63" s="51"/>
      <c r="F63" s="39"/>
    </row>
    <row r="64">
      <c r="A64" s="39"/>
      <c r="B64" s="47"/>
      <c r="C64" s="6"/>
      <c r="D64" s="50"/>
      <c r="E64" s="51"/>
      <c r="F64" s="39"/>
    </row>
    <row r="65">
      <c r="A65" s="39"/>
      <c r="B65" s="47"/>
      <c r="C65" s="6"/>
      <c r="D65" s="50"/>
      <c r="E65" s="51"/>
      <c r="F65" s="39"/>
    </row>
    <row r="66">
      <c r="A66" s="39"/>
      <c r="B66" s="47"/>
      <c r="C66" s="6"/>
      <c r="D66" s="50"/>
      <c r="E66" s="51"/>
      <c r="F66" s="39"/>
    </row>
    <row r="67">
      <c r="A67" s="39"/>
      <c r="B67" s="47"/>
      <c r="C67" s="6"/>
      <c r="D67" s="50"/>
      <c r="E67" s="51"/>
      <c r="F67" s="39"/>
    </row>
    <row r="68">
      <c r="A68" s="39"/>
      <c r="B68" s="47"/>
      <c r="C68" s="6"/>
      <c r="D68" s="50"/>
      <c r="E68" s="51"/>
      <c r="F68" s="39"/>
    </row>
    <row r="69">
      <c r="A69" s="39"/>
      <c r="B69" s="47"/>
      <c r="C69" s="6"/>
      <c r="D69" s="50"/>
      <c r="E69" s="51"/>
      <c r="F69" s="39"/>
    </row>
    <row r="70">
      <c r="A70" s="39"/>
      <c r="B70" s="47"/>
      <c r="C70" s="6"/>
      <c r="D70" s="50"/>
      <c r="E70" s="51"/>
      <c r="F70" s="39"/>
    </row>
    <row r="71">
      <c r="A71" s="39"/>
      <c r="B71" s="47"/>
      <c r="C71" s="6"/>
      <c r="D71" s="50"/>
      <c r="E71" s="51"/>
      <c r="F71" s="39"/>
    </row>
    <row r="72">
      <c r="A72" s="39"/>
      <c r="B72" s="47"/>
      <c r="C72" s="6"/>
      <c r="D72" s="50"/>
      <c r="E72" s="51"/>
      <c r="F72" s="39"/>
    </row>
    <row r="73">
      <c r="A73" s="39"/>
      <c r="B73" s="47"/>
      <c r="C73" s="6"/>
      <c r="D73" s="50"/>
      <c r="E73" s="51"/>
      <c r="F73" s="39"/>
    </row>
    <row r="74">
      <c r="A74" s="39"/>
      <c r="B74" s="47"/>
      <c r="C74" s="6"/>
      <c r="D74" s="50"/>
      <c r="E74" s="51"/>
      <c r="F74" s="39"/>
    </row>
    <row r="75">
      <c r="A75" s="39"/>
      <c r="B75" s="47"/>
      <c r="C75" s="6"/>
      <c r="D75" s="50"/>
      <c r="E75" s="51"/>
      <c r="F75" s="39"/>
    </row>
    <row r="76">
      <c r="A76" s="39"/>
      <c r="B76" s="47"/>
      <c r="C76" s="6"/>
      <c r="D76" s="50"/>
      <c r="E76" s="51"/>
      <c r="F76" s="39"/>
    </row>
    <row r="77">
      <c r="A77" s="39"/>
      <c r="B77" s="47"/>
      <c r="C77" s="6"/>
      <c r="D77" s="50"/>
      <c r="E77" s="51"/>
      <c r="F77" s="39"/>
    </row>
    <row r="78">
      <c r="A78" s="39"/>
      <c r="B78" s="47"/>
      <c r="C78" s="6"/>
      <c r="D78" s="50"/>
      <c r="E78" s="51"/>
      <c r="F78" s="39"/>
    </row>
    <row r="79">
      <c r="A79" s="39"/>
      <c r="B79" s="47"/>
      <c r="C79" s="6"/>
      <c r="D79" s="50"/>
      <c r="E79" s="51"/>
      <c r="F79" s="39"/>
    </row>
    <row r="80">
      <c r="A80" s="39"/>
      <c r="B80" s="47"/>
      <c r="C80" s="6"/>
      <c r="D80" s="50"/>
      <c r="E80" s="51"/>
      <c r="F80" s="39"/>
    </row>
    <row r="81">
      <c r="A81" s="39"/>
      <c r="B81" s="47"/>
      <c r="C81" s="6"/>
      <c r="D81" s="50"/>
      <c r="E81" s="51"/>
      <c r="F81" s="39"/>
    </row>
    <row r="82">
      <c r="A82" s="39"/>
      <c r="B82" s="47"/>
      <c r="C82" s="6"/>
      <c r="D82" s="50"/>
      <c r="E82" s="51"/>
      <c r="F82" s="39"/>
    </row>
    <row r="83">
      <c r="A83" s="39"/>
      <c r="B83" s="47"/>
      <c r="C83" s="6"/>
      <c r="D83" s="50"/>
      <c r="E83" s="51"/>
      <c r="F83" s="39"/>
    </row>
    <row r="84">
      <c r="A84" s="39"/>
      <c r="B84" s="47"/>
      <c r="C84" s="6"/>
      <c r="D84" s="50"/>
      <c r="E84" s="51"/>
      <c r="F84" s="39"/>
    </row>
    <row r="85">
      <c r="A85" s="39"/>
      <c r="B85" s="47"/>
      <c r="C85" s="6"/>
      <c r="D85" s="50"/>
      <c r="E85" s="51"/>
      <c r="F85" s="39"/>
    </row>
    <row r="86">
      <c r="A86" s="39"/>
      <c r="B86" s="105"/>
      <c r="C86" s="107"/>
      <c r="D86" s="107"/>
      <c r="E86" s="109"/>
      <c r="F86" s="39"/>
    </row>
  </sheetData>
  <mergeCells count="1">
    <mergeCell ref="A1:F2"/>
  </mergeCells>
  <conditionalFormatting sqref="B15:E15">
    <cfRule type="containsText" dxfId="2" priority="1" operator="containsText" text="N/A">
      <formula>NOT(ISERROR(SEARCH(("N/A"),(B15))))</formula>
    </cfRule>
  </conditionalFormatting>
  <conditionalFormatting sqref="F6:F13">
    <cfRule type="expression" dxfId="3" priority="2">
      <formula>D6&gt;C6</formula>
    </cfRule>
  </conditionalFormatting>
  <dataValidations>
    <dataValidation type="custom" allowBlank="1" showDropDown="1" showInputMessage="1" prompt="Double click to select a date" sqref="B16:B86">
      <formula1>OR(NOT(ISERROR(DATEVALUE(B16))), AND(ISNUMBER(B16), LEFT(CELL("format", B16))="D"))</formula1>
    </dataValidation>
    <dataValidation type="list" allowBlank="1" sqref="B6:B12 C16:C86">
      <formula1>'Back Door'!$M$2:$M$47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3.38"/>
    <col customWidth="1" min="3" max="10" width="11.63"/>
    <col customWidth="1" hidden="1" min="11" max="11" width="11.63"/>
  </cols>
  <sheetData>
    <row r="1" ht="45.0" customHeight="1">
      <c r="A1" s="41" t="s">
        <v>24</v>
      </c>
      <c r="K1" s="46"/>
    </row>
    <row r="2" ht="25.5" customHeight="1"/>
    <row r="3" ht="21.0" customHeight="1">
      <c r="A3" s="48" t="s">
        <v>26</v>
      </c>
    </row>
    <row r="4" ht="21.0" customHeight="1">
      <c r="B4" s="53">
        <f>SUM(H13:H59)</f>
        <v>201</v>
      </c>
      <c r="C4" s="44"/>
      <c r="D4" s="54"/>
    </row>
    <row r="5" ht="21.0" customHeight="1">
      <c r="A5" s="48" t="s">
        <v>28</v>
      </c>
    </row>
    <row r="6" ht="21.0" customHeight="1">
      <c r="B6" s="55" t="str">
        <f>VLOOKUP(C6,E10:K59,7,fALSE)</f>
        <v>Whew</v>
      </c>
      <c r="C6" s="56">
        <f>MAX(E13:E59)</f>
        <v>1043</v>
      </c>
      <c r="D6" s="54"/>
    </row>
    <row r="7" ht="21.0" customHeight="1">
      <c r="A7" s="48" t="s">
        <v>29</v>
      </c>
    </row>
    <row r="8" ht="21.0" customHeight="1">
      <c r="B8" s="55" t="str">
        <f>VLOOKUP(C8,E12:K59,7,fALSE)</f>
        <v>Secured</v>
      </c>
      <c r="C8" s="56">
        <f>MIN(E13:E59)</f>
        <v>0</v>
      </c>
      <c r="D8" s="54"/>
    </row>
    <row r="9" ht="21.0" customHeight="1">
      <c r="A9" s="48" t="s">
        <v>30</v>
      </c>
    </row>
    <row r="10" ht="21.0" customHeight="1">
      <c r="B10" s="55" t="str">
        <f>VLOOKUP(C10,J13:K59,2,fALSE)</f>
        <v>Secured</v>
      </c>
      <c r="C10" s="57">
        <f>Min(J13:J59)</f>
        <v>0</v>
      </c>
      <c r="D10" s="54"/>
    </row>
    <row r="11" ht="29.25" customHeight="1"/>
    <row r="12" ht="22.5" customHeight="1">
      <c r="A12" s="58" t="s">
        <v>31</v>
      </c>
      <c r="B12" s="59" t="s">
        <v>32</v>
      </c>
      <c r="C12" s="60" t="s">
        <v>33</v>
      </c>
      <c r="D12" s="60" t="s">
        <v>34</v>
      </c>
      <c r="E12" s="61" t="s">
        <v>35</v>
      </c>
      <c r="F12" s="59" t="s">
        <v>36</v>
      </c>
      <c r="G12" s="59" t="s">
        <v>37</v>
      </c>
      <c r="H12" s="60" t="s">
        <v>38</v>
      </c>
      <c r="I12" s="59" t="s">
        <v>39</v>
      </c>
      <c r="J12" s="59" t="s">
        <v>40</v>
      </c>
      <c r="K12" s="62"/>
    </row>
    <row r="13">
      <c r="A13" s="63" t="s">
        <v>41</v>
      </c>
      <c r="B13" s="64" t="s">
        <v>42</v>
      </c>
      <c r="C13" s="65">
        <v>2000.0</v>
      </c>
      <c r="D13" s="65">
        <v>36.0</v>
      </c>
      <c r="E13" s="66">
        <v>1043.0</v>
      </c>
      <c r="F13" s="67">
        <v>0.2524</v>
      </c>
      <c r="G13" s="68">
        <f t="shared" ref="G13:G14" si="1">(E13*F13)/12</f>
        <v>21.93776667</v>
      </c>
      <c r="H13" s="65">
        <v>200.0</v>
      </c>
      <c r="I13" s="68">
        <f t="array" ref="I13:I59">IF(ISBLANK(H13:H59),,J13:J59*H13:H59-E13:E59)</f>
        <v>73.34121135</v>
      </c>
      <c r="J13" s="77">
        <f t="array" ref="J13:J59">IF(ISBLANK(H13:H59),,NPER(F13:F59/12,H13:H59,-E13:E59))</f>
        <v>5.581706057</v>
      </c>
      <c r="K13" s="81" t="str">
        <f t="shared" ref="K13:K59" si="2">A13</f>
        <v>Whew</v>
      </c>
    </row>
    <row r="14">
      <c r="A14" s="63" t="s">
        <v>43</v>
      </c>
      <c r="B14" s="64" t="s">
        <v>44</v>
      </c>
      <c r="C14" s="65">
        <v>551.0</v>
      </c>
      <c r="D14" s="65">
        <v>0.0</v>
      </c>
      <c r="E14" s="66">
        <v>0.0</v>
      </c>
      <c r="F14" s="67">
        <v>0.2324</v>
      </c>
      <c r="G14" s="68">
        <f t="shared" si="1"/>
        <v>0</v>
      </c>
      <c r="H14" s="65">
        <v>1.0</v>
      </c>
      <c r="I14" s="68">
        <v>0.0</v>
      </c>
      <c r="J14" s="77">
        <v>0.0</v>
      </c>
      <c r="K14" s="81" t="str">
        <f t="shared" si="2"/>
        <v>Secured</v>
      </c>
    </row>
    <row r="15">
      <c r="A15" s="63"/>
      <c r="B15" s="64"/>
      <c r="C15" s="65"/>
      <c r="D15" s="65"/>
      <c r="E15" s="66"/>
      <c r="F15" s="67"/>
      <c r="G15" s="68"/>
      <c r="H15" s="65"/>
      <c r="I15" s="68"/>
      <c r="J15" s="77"/>
      <c r="K15" s="81" t="str">
        <f t="shared" si="2"/>
        <v/>
      </c>
    </row>
    <row r="16">
      <c r="A16" s="83"/>
      <c r="B16" s="84"/>
      <c r="C16" s="68"/>
      <c r="D16" s="68"/>
      <c r="E16" s="85"/>
      <c r="F16" s="64"/>
      <c r="G16" s="64"/>
      <c r="H16" s="68"/>
      <c r="I16" s="68"/>
      <c r="J16" s="77"/>
      <c r="K16" s="81" t="str">
        <f t="shared" si="2"/>
        <v/>
      </c>
    </row>
    <row r="17">
      <c r="A17" s="83"/>
      <c r="B17" s="84"/>
      <c r="C17" s="68"/>
      <c r="D17" s="68"/>
      <c r="E17" s="86"/>
      <c r="F17" s="84"/>
      <c r="G17" s="84"/>
      <c r="H17" s="68"/>
      <c r="I17" s="68"/>
      <c r="J17" s="77"/>
      <c r="K17" s="81" t="str">
        <f t="shared" si="2"/>
        <v/>
      </c>
    </row>
    <row r="18">
      <c r="A18" s="83"/>
      <c r="B18" s="84"/>
      <c r="C18" s="68"/>
      <c r="D18" s="68"/>
      <c r="E18" s="86"/>
      <c r="F18" s="84"/>
      <c r="G18" s="84"/>
      <c r="H18" s="68"/>
      <c r="I18" s="68"/>
      <c r="J18" s="77"/>
      <c r="K18" s="81" t="str">
        <f t="shared" si="2"/>
        <v/>
      </c>
    </row>
    <row r="19">
      <c r="A19" s="83"/>
      <c r="B19" s="84"/>
      <c r="C19" s="68"/>
      <c r="D19" s="68"/>
      <c r="E19" s="86"/>
      <c r="F19" s="84"/>
      <c r="G19" s="84"/>
      <c r="H19" s="68"/>
      <c r="I19" s="68"/>
      <c r="J19" s="77"/>
      <c r="K19" s="81" t="str">
        <f t="shared" si="2"/>
        <v/>
      </c>
    </row>
    <row r="20">
      <c r="A20" s="83"/>
      <c r="B20" s="84"/>
      <c r="C20" s="68"/>
      <c r="D20" s="68"/>
      <c r="E20" s="86"/>
      <c r="F20" s="84"/>
      <c r="G20" s="84"/>
      <c r="H20" s="68"/>
      <c r="I20" s="68"/>
      <c r="J20" s="77"/>
      <c r="K20" s="81" t="str">
        <f t="shared" si="2"/>
        <v/>
      </c>
    </row>
    <row r="21">
      <c r="A21" s="83"/>
      <c r="B21" s="84"/>
      <c r="C21" s="68"/>
      <c r="D21" s="68"/>
      <c r="E21" s="86"/>
      <c r="F21" s="84"/>
      <c r="G21" s="84"/>
      <c r="H21" s="68"/>
      <c r="I21" s="68"/>
      <c r="J21" s="77"/>
      <c r="K21" s="81" t="str">
        <f t="shared" si="2"/>
        <v/>
      </c>
    </row>
    <row r="22">
      <c r="A22" s="83"/>
      <c r="B22" s="84"/>
      <c r="C22" s="68"/>
      <c r="D22" s="68"/>
      <c r="E22" s="86"/>
      <c r="F22" s="84"/>
      <c r="G22" s="84"/>
      <c r="H22" s="68"/>
      <c r="I22" s="68"/>
      <c r="J22" s="77"/>
      <c r="K22" s="81" t="str">
        <f t="shared" si="2"/>
        <v/>
      </c>
    </row>
    <row r="23">
      <c r="A23" s="83"/>
      <c r="B23" s="84"/>
      <c r="C23" s="68"/>
      <c r="D23" s="68"/>
      <c r="E23" s="86"/>
      <c r="F23" s="84"/>
      <c r="G23" s="84"/>
      <c r="H23" s="68"/>
      <c r="I23" s="68"/>
      <c r="J23" s="77"/>
      <c r="K23" s="81" t="str">
        <f t="shared" si="2"/>
        <v/>
      </c>
    </row>
    <row r="24">
      <c r="A24" s="83"/>
      <c r="B24" s="84"/>
      <c r="C24" s="68"/>
      <c r="D24" s="68"/>
      <c r="E24" s="86"/>
      <c r="F24" s="84"/>
      <c r="G24" s="84"/>
      <c r="H24" s="68"/>
      <c r="I24" s="68"/>
      <c r="J24" s="77"/>
      <c r="K24" s="81" t="str">
        <f t="shared" si="2"/>
        <v/>
      </c>
    </row>
    <row r="25">
      <c r="A25" s="83"/>
      <c r="B25" s="84"/>
      <c r="C25" s="68"/>
      <c r="D25" s="68"/>
      <c r="E25" s="86"/>
      <c r="F25" s="84"/>
      <c r="G25" s="84"/>
      <c r="H25" s="68"/>
      <c r="I25" s="68"/>
      <c r="J25" s="77"/>
      <c r="K25" s="81" t="str">
        <f t="shared" si="2"/>
        <v/>
      </c>
    </row>
    <row r="26">
      <c r="A26" s="83"/>
      <c r="B26" s="84"/>
      <c r="C26" s="68"/>
      <c r="D26" s="68"/>
      <c r="E26" s="86"/>
      <c r="F26" s="84"/>
      <c r="G26" s="84"/>
      <c r="H26" s="68"/>
      <c r="I26" s="68"/>
      <c r="J26" s="77"/>
      <c r="K26" s="81" t="str">
        <f t="shared" si="2"/>
        <v/>
      </c>
    </row>
    <row r="27">
      <c r="A27" s="83"/>
      <c r="B27" s="84"/>
      <c r="C27" s="68"/>
      <c r="D27" s="68"/>
      <c r="E27" s="86"/>
      <c r="F27" s="84"/>
      <c r="G27" s="84"/>
      <c r="H27" s="68"/>
      <c r="I27" s="68"/>
      <c r="J27" s="77"/>
      <c r="K27" s="81" t="str">
        <f t="shared" si="2"/>
        <v/>
      </c>
    </row>
    <row r="28">
      <c r="A28" s="83"/>
      <c r="B28" s="84"/>
      <c r="C28" s="68"/>
      <c r="D28" s="68"/>
      <c r="E28" s="86"/>
      <c r="F28" s="84"/>
      <c r="G28" s="84"/>
      <c r="H28" s="68"/>
      <c r="I28" s="68"/>
      <c r="J28" s="77"/>
      <c r="K28" s="81" t="str">
        <f t="shared" si="2"/>
        <v/>
      </c>
    </row>
    <row r="29">
      <c r="A29" s="83"/>
      <c r="B29" s="84"/>
      <c r="C29" s="68"/>
      <c r="D29" s="68"/>
      <c r="E29" s="86"/>
      <c r="F29" s="84"/>
      <c r="G29" s="84"/>
      <c r="H29" s="68"/>
      <c r="I29" s="68"/>
      <c r="J29" s="77"/>
      <c r="K29" s="81" t="str">
        <f t="shared" si="2"/>
        <v/>
      </c>
    </row>
    <row r="30">
      <c r="A30" s="83"/>
      <c r="B30" s="84"/>
      <c r="C30" s="68"/>
      <c r="D30" s="68"/>
      <c r="E30" s="86"/>
      <c r="F30" s="84"/>
      <c r="G30" s="84"/>
      <c r="H30" s="68"/>
      <c r="I30" s="68"/>
      <c r="J30" s="77"/>
      <c r="K30" s="81" t="str">
        <f t="shared" si="2"/>
        <v/>
      </c>
    </row>
    <row r="31">
      <c r="A31" s="83"/>
      <c r="B31" s="84"/>
      <c r="C31" s="68"/>
      <c r="D31" s="68"/>
      <c r="E31" s="86"/>
      <c r="F31" s="84"/>
      <c r="G31" s="84"/>
      <c r="H31" s="68"/>
      <c r="I31" s="68"/>
      <c r="J31" s="77"/>
      <c r="K31" s="81" t="str">
        <f t="shared" si="2"/>
        <v/>
      </c>
    </row>
    <row r="32">
      <c r="A32" s="83"/>
      <c r="B32" s="84"/>
      <c r="C32" s="68"/>
      <c r="D32" s="68"/>
      <c r="E32" s="86"/>
      <c r="F32" s="84"/>
      <c r="G32" s="84"/>
      <c r="H32" s="68"/>
      <c r="I32" s="68"/>
      <c r="J32" s="77"/>
      <c r="K32" s="81" t="str">
        <f t="shared" si="2"/>
        <v/>
      </c>
    </row>
    <row r="33">
      <c r="A33" s="83"/>
      <c r="B33" s="84"/>
      <c r="C33" s="68"/>
      <c r="D33" s="68"/>
      <c r="E33" s="86"/>
      <c r="F33" s="84"/>
      <c r="G33" s="84"/>
      <c r="H33" s="68"/>
      <c r="I33" s="68"/>
      <c r="J33" s="77"/>
      <c r="K33" s="81" t="str">
        <f t="shared" si="2"/>
        <v/>
      </c>
    </row>
    <row r="34">
      <c r="A34" s="83"/>
      <c r="B34" s="84"/>
      <c r="C34" s="68"/>
      <c r="D34" s="68"/>
      <c r="E34" s="86"/>
      <c r="F34" s="84"/>
      <c r="G34" s="84"/>
      <c r="H34" s="68"/>
      <c r="I34" s="68"/>
      <c r="J34" s="77"/>
      <c r="K34" s="81" t="str">
        <f t="shared" si="2"/>
        <v/>
      </c>
    </row>
    <row r="35">
      <c r="A35" s="83"/>
      <c r="B35" s="84"/>
      <c r="C35" s="68"/>
      <c r="D35" s="68"/>
      <c r="E35" s="86"/>
      <c r="F35" s="84"/>
      <c r="G35" s="84"/>
      <c r="H35" s="68"/>
      <c r="I35" s="68"/>
      <c r="J35" s="77"/>
      <c r="K35" s="81" t="str">
        <f t="shared" si="2"/>
        <v/>
      </c>
    </row>
    <row r="36">
      <c r="A36" s="83"/>
      <c r="B36" s="84"/>
      <c r="C36" s="68"/>
      <c r="D36" s="68"/>
      <c r="E36" s="86"/>
      <c r="F36" s="84"/>
      <c r="G36" s="84"/>
      <c r="H36" s="68"/>
      <c r="I36" s="68"/>
      <c r="J36" s="77"/>
      <c r="K36" s="81" t="str">
        <f t="shared" si="2"/>
        <v/>
      </c>
    </row>
    <row r="37">
      <c r="A37" s="83"/>
      <c r="B37" s="84"/>
      <c r="C37" s="68"/>
      <c r="D37" s="68"/>
      <c r="E37" s="86"/>
      <c r="F37" s="84"/>
      <c r="G37" s="84"/>
      <c r="H37" s="68"/>
      <c r="I37" s="68"/>
      <c r="J37" s="77"/>
      <c r="K37" s="81" t="str">
        <f t="shared" si="2"/>
        <v/>
      </c>
    </row>
    <row r="38">
      <c r="A38" s="83"/>
      <c r="B38" s="84"/>
      <c r="C38" s="68"/>
      <c r="D38" s="68"/>
      <c r="E38" s="86"/>
      <c r="F38" s="84"/>
      <c r="G38" s="84"/>
      <c r="H38" s="68"/>
      <c r="I38" s="68"/>
      <c r="J38" s="77"/>
      <c r="K38" s="81" t="str">
        <f t="shared" si="2"/>
        <v/>
      </c>
    </row>
    <row r="39">
      <c r="A39" s="83"/>
      <c r="B39" s="84"/>
      <c r="C39" s="68"/>
      <c r="D39" s="68"/>
      <c r="E39" s="86"/>
      <c r="F39" s="84"/>
      <c r="G39" s="84"/>
      <c r="H39" s="68"/>
      <c r="I39" s="68"/>
      <c r="J39" s="77"/>
      <c r="K39" s="81" t="str">
        <f t="shared" si="2"/>
        <v/>
      </c>
    </row>
    <row r="40">
      <c r="A40" s="83"/>
      <c r="B40" s="84"/>
      <c r="C40" s="68"/>
      <c r="D40" s="68"/>
      <c r="E40" s="86"/>
      <c r="F40" s="84"/>
      <c r="G40" s="84"/>
      <c r="H40" s="68"/>
      <c r="I40" s="68"/>
      <c r="J40" s="77"/>
      <c r="K40" s="81" t="str">
        <f t="shared" si="2"/>
        <v/>
      </c>
    </row>
    <row r="41">
      <c r="A41" s="83"/>
      <c r="B41" s="84"/>
      <c r="C41" s="68"/>
      <c r="D41" s="68"/>
      <c r="E41" s="86"/>
      <c r="F41" s="84"/>
      <c r="G41" s="84"/>
      <c r="H41" s="68"/>
      <c r="I41" s="68"/>
      <c r="J41" s="77"/>
      <c r="K41" s="81" t="str">
        <f t="shared" si="2"/>
        <v/>
      </c>
    </row>
    <row r="42">
      <c r="A42" s="83"/>
      <c r="B42" s="84"/>
      <c r="C42" s="68"/>
      <c r="D42" s="68"/>
      <c r="E42" s="86"/>
      <c r="F42" s="84"/>
      <c r="G42" s="84"/>
      <c r="H42" s="68"/>
      <c r="I42" s="68"/>
      <c r="J42" s="77"/>
      <c r="K42" s="81" t="str">
        <f t="shared" si="2"/>
        <v/>
      </c>
    </row>
    <row r="43">
      <c r="A43" s="83"/>
      <c r="B43" s="84"/>
      <c r="C43" s="68"/>
      <c r="D43" s="68"/>
      <c r="E43" s="86"/>
      <c r="F43" s="84"/>
      <c r="G43" s="84"/>
      <c r="H43" s="68"/>
      <c r="I43" s="68"/>
      <c r="J43" s="77"/>
      <c r="K43" s="81" t="str">
        <f t="shared" si="2"/>
        <v/>
      </c>
    </row>
    <row r="44">
      <c r="A44" s="83"/>
      <c r="B44" s="84"/>
      <c r="C44" s="68"/>
      <c r="D44" s="68"/>
      <c r="E44" s="86"/>
      <c r="F44" s="84"/>
      <c r="G44" s="84"/>
      <c r="H44" s="68"/>
      <c r="I44" s="68"/>
      <c r="J44" s="77"/>
      <c r="K44" s="81" t="str">
        <f t="shared" si="2"/>
        <v/>
      </c>
    </row>
    <row r="45">
      <c r="A45" s="83"/>
      <c r="B45" s="84"/>
      <c r="C45" s="68"/>
      <c r="D45" s="68"/>
      <c r="E45" s="86"/>
      <c r="F45" s="84"/>
      <c r="G45" s="84"/>
      <c r="H45" s="68"/>
      <c r="I45" s="68"/>
      <c r="J45" s="77"/>
      <c r="K45" s="81" t="str">
        <f t="shared" si="2"/>
        <v/>
      </c>
    </row>
    <row r="46">
      <c r="A46" s="83"/>
      <c r="B46" s="84"/>
      <c r="C46" s="68"/>
      <c r="D46" s="68"/>
      <c r="E46" s="86"/>
      <c r="F46" s="84"/>
      <c r="G46" s="84"/>
      <c r="H46" s="68"/>
      <c r="I46" s="68"/>
      <c r="J46" s="77"/>
      <c r="K46" s="81" t="str">
        <f t="shared" si="2"/>
        <v/>
      </c>
    </row>
    <row r="47">
      <c r="A47" s="83"/>
      <c r="B47" s="84"/>
      <c r="C47" s="68"/>
      <c r="D47" s="68"/>
      <c r="E47" s="86"/>
      <c r="F47" s="84"/>
      <c r="G47" s="84"/>
      <c r="H47" s="68"/>
      <c r="I47" s="68"/>
      <c r="J47" s="77"/>
      <c r="K47" s="81" t="str">
        <f t="shared" si="2"/>
        <v/>
      </c>
    </row>
    <row r="48">
      <c r="A48" s="83"/>
      <c r="B48" s="84"/>
      <c r="C48" s="68"/>
      <c r="D48" s="68"/>
      <c r="E48" s="86"/>
      <c r="F48" s="84"/>
      <c r="G48" s="84"/>
      <c r="H48" s="68"/>
      <c r="I48" s="68"/>
      <c r="J48" s="77"/>
      <c r="K48" s="81" t="str">
        <f t="shared" si="2"/>
        <v/>
      </c>
    </row>
    <row r="49">
      <c r="A49" s="83"/>
      <c r="B49" s="84"/>
      <c r="C49" s="68"/>
      <c r="D49" s="68"/>
      <c r="E49" s="86"/>
      <c r="F49" s="84"/>
      <c r="G49" s="84"/>
      <c r="H49" s="68"/>
      <c r="I49" s="68"/>
      <c r="J49" s="77"/>
      <c r="K49" s="81" t="str">
        <f t="shared" si="2"/>
        <v/>
      </c>
    </row>
    <row r="50">
      <c r="A50" s="83"/>
      <c r="B50" s="84"/>
      <c r="C50" s="68"/>
      <c r="D50" s="68"/>
      <c r="E50" s="86"/>
      <c r="F50" s="84"/>
      <c r="G50" s="84"/>
      <c r="H50" s="68"/>
      <c r="I50" s="68"/>
      <c r="J50" s="77"/>
      <c r="K50" s="81" t="str">
        <f t="shared" si="2"/>
        <v/>
      </c>
    </row>
    <row r="51">
      <c r="A51" s="83"/>
      <c r="B51" s="84"/>
      <c r="C51" s="68"/>
      <c r="D51" s="68"/>
      <c r="E51" s="86"/>
      <c r="F51" s="84"/>
      <c r="G51" s="84"/>
      <c r="H51" s="68"/>
      <c r="I51" s="68"/>
      <c r="J51" s="77"/>
      <c r="K51" s="81" t="str">
        <f t="shared" si="2"/>
        <v/>
      </c>
    </row>
    <row r="52">
      <c r="A52" s="83"/>
      <c r="B52" s="84"/>
      <c r="C52" s="68"/>
      <c r="D52" s="68"/>
      <c r="E52" s="86"/>
      <c r="F52" s="84"/>
      <c r="G52" s="84"/>
      <c r="H52" s="68"/>
      <c r="I52" s="68"/>
      <c r="J52" s="77"/>
      <c r="K52" s="81" t="str">
        <f t="shared" si="2"/>
        <v/>
      </c>
    </row>
    <row r="53">
      <c r="A53" s="83"/>
      <c r="B53" s="84"/>
      <c r="C53" s="68"/>
      <c r="D53" s="68"/>
      <c r="E53" s="86"/>
      <c r="F53" s="84"/>
      <c r="G53" s="84"/>
      <c r="H53" s="68"/>
      <c r="I53" s="68"/>
      <c r="J53" s="77"/>
      <c r="K53" s="81" t="str">
        <f t="shared" si="2"/>
        <v/>
      </c>
    </row>
    <row r="54">
      <c r="A54" s="83"/>
      <c r="B54" s="84"/>
      <c r="C54" s="68"/>
      <c r="D54" s="68"/>
      <c r="E54" s="86"/>
      <c r="F54" s="84"/>
      <c r="G54" s="84"/>
      <c r="H54" s="68"/>
      <c r="I54" s="68"/>
      <c r="J54" s="77"/>
      <c r="K54" s="81" t="str">
        <f t="shared" si="2"/>
        <v/>
      </c>
    </row>
    <row r="55">
      <c r="A55" s="83"/>
      <c r="B55" s="84"/>
      <c r="C55" s="68"/>
      <c r="D55" s="68"/>
      <c r="E55" s="86"/>
      <c r="F55" s="84"/>
      <c r="G55" s="84"/>
      <c r="H55" s="68"/>
      <c r="I55" s="68"/>
      <c r="J55" s="77"/>
      <c r="K55" s="81" t="str">
        <f t="shared" si="2"/>
        <v/>
      </c>
    </row>
    <row r="56">
      <c r="A56" s="83"/>
      <c r="B56" s="84"/>
      <c r="C56" s="68"/>
      <c r="D56" s="68"/>
      <c r="E56" s="86"/>
      <c r="F56" s="84"/>
      <c r="G56" s="84"/>
      <c r="H56" s="68"/>
      <c r="I56" s="68"/>
      <c r="J56" s="77"/>
      <c r="K56" s="81" t="str">
        <f t="shared" si="2"/>
        <v/>
      </c>
    </row>
    <row r="57">
      <c r="A57" s="83"/>
      <c r="B57" s="84"/>
      <c r="C57" s="68"/>
      <c r="D57" s="68"/>
      <c r="E57" s="86"/>
      <c r="F57" s="84"/>
      <c r="G57" s="84"/>
      <c r="H57" s="68"/>
      <c r="I57" s="68"/>
      <c r="J57" s="77"/>
      <c r="K57" s="81" t="str">
        <f t="shared" si="2"/>
        <v/>
      </c>
    </row>
    <row r="58">
      <c r="A58" s="83"/>
      <c r="B58" s="84"/>
      <c r="C58" s="68"/>
      <c r="D58" s="68"/>
      <c r="E58" s="86"/>
      <c r="F58" s="84"/>
      <c r="G58" s="84"/>
      <c r="H58" s="68"/>
      <c r="I58" s="68"/>
      <c r="J58" s="77"/>
      <c r="K58" s="81" t="str">
        <f t="shared" si="2"/>
        <v/>
      </c>
    </row>
    <row r="59">
      <c r="A59" s="122"/>
      <c r="B59" s="123"/>
      <c r="C59" s="124"/>
      <c r="D59" s="124"/>
      <c r="E59" s="125"/>
      <c r="F59" s="123"/>
      <c r="G59" s="123"/>
      <c r="H59" s="124"/>
      <c r="I59" s="124"/>
      <c r="J59" s="128"/>
      <c r="K59" s="81" t="str">
        <f t="shared" si="2"/>
        <v/>
      </c>
    </row>
  </sheetData>
  <mergeCells count="6">
    <mergeCell ref="A1:J1"/>
    <mergeCell ref="A3:D3"/>
    <mergeCell ref="B4:C4"/>
    <mergeCell ref="A5:D5"/>
    <mergeCell ref="A7:D7"/>
    <mergeCell ref="A9:D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13" width="11.5"/>
    <col customWidth="1" min="14" max="14" width="6.5"/>
  </cols>
  <sheetData>
    <row r="1" ht="49.5" customHeight="1">
      <c r="A1" s="5"/>
      <c r="B1" s="5" t="s">
        <v>2</v>
      </c>
    </row>
    <row r="2">
      <c r="A2" s="8"/>
      <c r="B2" s="8"/>
      <c r="C2" s="8"/>
      <c r="D2" s="8"/>
      <c r="E2" s="8"/>
      <c r="F2" s="8"/>
      <c r="G2" s="9"/>
      <c r="H2" s="9"/>
      <c r="I2" s="9"/>
      <c r="J2" s="9"/>
      <c r="K2" s="9"/>
      <c r="L2" s="9"/>
      <c r="M2" s="9"/>
      <c r="N2" s="9"/>
    </row>
    <row r="3">
      <c r="A3" s="8"/>
      <c r="B3" s="8"/>
      <c r="C3" s="8"/>
      <c r="D3" s="8"/>
      <c r="E3" s="8"/>
      <c r="F3" s="8"/>
      <c r="G3" s="9"/>
      <c r="H3" s="9"/>
      <c r="I3" s="9"/>
      <c r="J3" s="9"/>
      <c r="K3" s="9"/>
      <c r="L3" s="9"/>
      <c r="M3" s="9"/>
      <c r="N3" s="9"/>
    </row>
    <row r="4">
      <c r="A4" s="8"/>
      <c r="B4" s="8"/>
      <c r="C4" s="8"/>
      <c r="D4" s="8"/>
      <c r="E4" s="8"/>
      <c r="F4" s="8"/>
      <c r="G4" s="9"/>
      <c r="H4" s="9"/>
      <c r="I4" s="9"/>
      <c r="J4" s="9"/>
      <c r="K4" s="9"/>
      <c r="L4" s="9"/>
      <c r="M4" s="9"/>
      <c r="N4" s="9"/>
    </row>
    <row r="5">
      <c r="A5" s="8"/>
      <c r="B5" s="8"/>
      <c r="C5" s="8"/>
      <c r="D5" s="8"/>
      <c r="E5" s="8"/>
      <c r="F5" s="8"/>
    </row>
    <row r="6">
      <c r="A6" s="8"/>
      <c r="B6" s="10" t="s">
        <v>6</v>
      </c>
      <c r="C6" s="11"/>
      <c r="D6" s="10" t="s">
        <v>7</v>
      </c>
      <c r="E6" s="13" t="s">
        <v>8</v>
      </c>
      <c r="F6" s="13" t="s">
        <v>9</v>
      </c>
      <c r="G6" s="14" t="s">
        <v>10</v>
      </c>
      <c r="H6" s="15" t="s">
        <v>11</v>
      </c>
      <c r="I6" s="16" t="s">
        <v>12</v>
      </c>
      <c r="J6" s="15" t="s">
        <v>13</v>
      </c>
      <c r="M6" s="15" t="s">
        <v>14</v>
      </c>
    </row>
    <row r="7" ht="26.25" customHeight="1">
      <c r="A7" s="8"/>
      <c r="B7" s="17" t="s">
        <v>15</v>
      </c>
      <c r="C7" s="18"/>
      <c r="D7" s="19">
        <v>2053.0</v>
      </c>
      <c r="E7" s="20">
        <v>90.0</v>
      </c>
      <c r="F7" s="21" t="str">
        <f>IFERROR(__xludf.DUMMYFUNCTION("IF(ISBLANK(B7),,IFERROR(GOOGLEFINANCE(B7)))"),"")</f>
        <v/>
      </c>
      <c r="G7" s="24">
        <f t="array" ref="G7:G22">IF(ISBLANK(B7:B22),,F7:F22/E7:E22-100%)</f>
        <v>-1</v>
      </c>
      <c r="H7" s="25">
        <f t="array" ref="H7:H22">IF(ISBLANK(B7:B22),,D7:D22*F7:F22)</f>
        <v>0</v>
      </c>
      <c r="I7" s="26">
        <f t="array" ref="I7:I22">IF(ISBLANK(B7:B22),,H7:H22-(D7:D22*E7:E22))</f>
        <v>-184770</v>
      </c>
      <c r="J7" s="27" t="str">
        <f>IFERROR(__xludf.DUMMYFUNCTION("IF(ISBLANK(B7),,IFERROR(SPARKLINE(GOOGLEFINANCE(B7,""price"",TODAY()-365,TODAY(),""daily""),{""charttype"",""line"";""linewidth"",1;""color"",""#88d4c3""})))"),"")</f>
        <v/>
      </c>
      <c r="K7" s="28"/>
      <c r="L7" s="28"/>
      <c r="M7" s="29" t="str">
        <f>IFERROR(__xludf.DUMMYFUNCTION("IFERROR(IF(ISBLANK(B7),,GOOGLEFINANCE(B7, ""changepct"")/100))"),"")</f>
        <v/>
      </c>
    </row>
    <row r="8" ht="26.25" customHeight="1">
      <c r="A8" s="8"/>
      <c r="B8" s="30" t="s">
        <v>19</v>
      </c>
      <c r="C8" s="11"/>
      <c r="D8" s="31">
        <v>308.0</v>
      </c>
      <c r="E8" s="32">
        <v>7.02</v>
      </c>
      <c r="F8" s="33">
        <f>IFERROR(__xludf.DUMMYFUNCTION("IF(ISBLANK(B8),,IFERROR(GOOGLEFINANCE(B8)))"),72.31)</f>
        <v>72.31</v>
      </c>
      <c r="G8" s="34">
        <v>9.300569800569802</v>
      </c>
      <c r="H8" s="35">
        <v>22271.48</v>
      </c>
      <c r="I8" s="36">
        <v>20109.32</v>
      </c>
      <c r="J8" s="43" t="str">
        <f>IFERROR(__xludf.DUMMYFUNCTION("IF(ISBLANK(B8),,IFERROR(SPARKLINE(GOOGLEFINANCE(B8,""price"",TODAY()-365,TODAY(),""daily""),{""charttype"",""line"";""linewidth"",1;""color"",""#88d4c3""})))"),"")</f>
        <v/>
      </c>
      <c r="K8" s="44"/>
      <c r="L8" s="44"/>
      <c r="M8" s="49">
        <f>IFERROR(__xludf.DUMMYFUNCTION("IFERROR(IF(ISBLANK(B8),,GOOGLEFINANCE(B8, ""changepct"")/100))"),0.0)</f>
        <v>0</v>
      </c>
    </row>
    <row r="9" ht="26.25" customHeight="1">
      <c r="A9" s="8"/>
      <c r="B9" s="30"/>
      <c r="C9" s="11"/>
      <c r="D9" s="52"/>
      <c r="E9" s="32"/>
      <c r="F9" s="33" t="str">
        <f>IFERROR(__xludf.DUMMYFUNCTION("IF(ISBLANK(B9),,IFERROR(GOOGLEFINANCE(B9)))"),"")</f>
        <v/>
      </c>
      <c r="G9" s="34"/>
      <c r="H9" s="35"/>
      <c r="I9" s="36"/>
      <c r="J9" s="43" t="str">
        <f>IFERROR(__xludf.DUMMYFUNCTION("IF(ISBLANK(B9),,IFERROR(SPARKLINE(GOOGLEFINANCE(B9,""price"",TODAY()-365,TODAY(),""daily""),{""charttype"",""line"";""linewidth"",1;""color"",""#88d4c3""})))"),"")</f>
        <v/>
      </c>
      <c r="K9" s="44"/>
      <c r="L9" s="44"/>
      <c r="M9" s="49" t="str">
        <f>IFERROR(__xludf.DUMMYFUNCTION("IFERROR(IF(ISBLANK(B9),,GOOGLEFINANCE(B9, ""changepct"")/100))"),"")</f>
        <v/>
      </c>
    </row>
    <row r="10" ht="26.25" customHeight="1">
      <c r="A10" s="8"/>
      <c r="B10" s="30"/>
      <c r="C10" s="11"/>
      <c r="D10" s="52"/>
      <c r="E10" s="32"/>
      <c r="F10" s="33" t="str">
        <f>IFERROR(__xludf.DUMMYFUNCTION("IF(ISBLANK(B10),,IFERROR(GOOGLEFINANCE(B10)))"),"")</f>
        <v/>
      </c>
      <c r="G10" s="34"/>
      <c r="H10" s="35"/>
      <c r="I10" s="36"/>
      <c r="J10" s="43" t="str">
        <f>IFERROR(__xludf.DUMMYFUNCTION("IF(ISBLANK(B10),,IFERROR(SPARKLINE(GOOGLEFINANCE(B10,""price"",TODAY()-365,TODAY(),""daily""),{""charttype"",""line"";""linewidth"",1;""color"",""#88d4c3""})))"),"")</f>
        <v/>
      </c>
      <c r="K10" s="44"/>
      <c r="L10" s="44"/>
      <c r="M10" s="49" t="str">
        <f>IFERROR(__xludf.DUMMYFUNCTION("IFERROR(IF(ISBLANK(B10),,GOOGLEFINANCE(B10, ""changepct"")/100))"),"")</f>
        <v/>
      </c>
    </row>
    <row r="11" ht="26.25" customHeight="1">
      <c r="A11" s="8"/>
      <c r="B11" s="30"/>
      <c r="C11" s="11"/>
      <c r="D11" s="52"/>
      <c r="E11" s="32"/>
      <c r="F11" s="33" t="str">
        <f>IFERROR(__xludf.DUMMYFUNCTION("IF(ISBLANK(B11),,IFERROR(GOOGLEFINANCE(B11)))"),"")</f>
        <v/>
      </c>
      <c r="G11" s="34"/>
      <c r="H11" s="35"/>
      <c r="I11" s="36"/>
      <c r="J11" s="43" t="str">
        <f>IFERROR(__xludf.DUMMYFUNCTION("IF(ISBLANK(B11),,IFERROR(SPARKLINE(GOOGLEFINANCE(B11,""price"",TODAY()-365,TODAY(),""daily""),{""charttype"",""line"";""linewidth"",1;""color"",""#88d4c3""})))"),"")</f>
        <v/>
      </c>
      <c r="K11" s="44"/>
      <c r="L11" s="44"/>
      <c r="M11" s="49" t="str">
        <f>IFERROR(__xludf.DUMMYFUNCTION("IFERROR(IF(ISBLANK(B11),,GOOGLEFINANCE(B11, ""changepct"")/100))"),"")</f>
        <v/>
      </c>
    </row>
    <row r="12" ht="26.25" customHeight="1">
      <c r="A12" s="8"/>
      <c r="B12" s="30"/>
      <c r="C12" s="11"/>
      <c r="D12" s="52"/>
      <c r="E12" s="32"/>
      <c r="F12" s="33" t="str">
        <f>IFERROR(__xludf.DUMMYFUNCTION("IF(ISBLANK(B12),,IFERROR(GOOGLEFINANCE(B12)))"),"")</f>
        <v/>
      </c>
      <c r="G12" s="34"/>
      <c r="H12" s="35"/>
      <c r="I12" s="36"/>
      <c r="J12" s="43" t="str">
        <f>IFERROR(__xludf.DUMMYFUNCTION("IF(ISBLANK(B12),,IFERROR(SPARKLINE(GOOGLEFINANCE(B12,""price"",TODAY()-365,TODAY(),""daily""),{""charttype"",""line"";""linewidth"",1;""color"",""#88d4c3""})))"),"")</f>
        <v/>
      </c>
      <c r="K12" s="44"/>
      <c r="L12" s="44"/>
      <c r="M12" s="49" t="str">
        <f>IFERROR(__xludf.DUMMYFUNCTION("IFERROR(IF(ISBLANK(B12),,GOOGLEFINANCE(B12, ""changepct"")/100))"),"")</f>
        <v/>
      </c>
    </row>
    <row r="13" ht="26.25" customHeight="1">
      <c r="A13" s="8"/>
      <c r="B13" s="30"/>
      <c r="C13" s="11"/>
      <c r="D13" s="52"/>
      <c r="E13" s="32"/>
      <c r="F13" s="33" t="str">
        <f>IFERROR(__xludf.DUMMYFUNCTION("IF(ISBLANK(B13),,IFERROR(GOOGLEFINANCE(B13)))"),"")</f>
        <v/>
      </c>
      <c r="G13" s="34"/>
      <c r="H13" s="35"/>
      <c r="I13" s="36"/>
      <c r="J13" s="43" t="str">
        <f>IFERROR(__xludf.DUMMYFUNCTION("IF(ISBLANK(B13),,IFERROR(SPARKLINE(GOOGLEFINANCE(B13,""price"",TODAY()-365,TODAY(),""daily""),{""charttype"",""line"";""linewidth"",1;""color"",""#88d4c3""})))"),"")</f>
        <v/>
      </c>
      <c r="K13" s="44"/>
      <c r="L13" s="44"/>
      <c r="M13" s="49" t="str">
        <f>IFERROR(__xludf.DUMMYFUNCTION("IFERROR(IF(ISBLANK(B13),,GOOGLEFINANCE(B13, ""changepct"")/100))"),"")</f>
        <v/>
      </c>
    </row>
    <row r="14" ht="26.25" customHeight="1">
      <c r="A14" s="8"/>
      <c r="B14" s="30"/>
      <c r="C14" s="11"/>
      <c r="D14" s="52"/>
      <c r="E14" s="32"/>
      <c r="F14" s="33" t="str">
        <f>IFERROR(__xludf.DUMMYFUNCTION("IF(ISBLANK(B14),,IFERROR(GOOGLEFINANCE(B14)))"),"")</f>
        <v/>
      </c>
      <c r="G14" s="34"/>
      <c r="H14" s="35"/>
      <c r="I14" s="36"/>
      <c r="J14" s="43" t="str">
        <f>IFERROR(__xludf.DUMMYFUNCTION("IF(ISBLANK(B14),,IFERROR(SPARKLINE(GOOGLEFINANCE(B14,""price"",TODAY()-365,TODAY(),""daily""),{""charttype"",""line"";""linewidth"",1;""color"",""#88d4c3""})))"),"")</f>
        <v/>
      </c>
      <c r="K14" s="44"/>
      <c r="L14" s="44"/>
      <c r="M14" s="49" t="str">
        <f>IFERROR(__xludf.DUMMYFUNCTION("IFERROR(IF(ISBLANK(B14),,GOOGLEFINANCE(B14, ""changepct"")/100))"),"")</f>
        <v/>
      </c>
    </row>
    <row r="15" ht="26.25" customHeight="1">
      <c r="A15" s="8"/>
      <c r="B15" s="30"/>
      <c r="C15" s="11"/>
      <c r="D15" s="52"/>
      <c r="E15" s="32"/>
      <c r="F15" s="33" t="str">
        <f>IFERROR(__xludf.DUMMYFUNCTION("IF(ISBLANK(B15),,IFERROR(GOOGLEFINANCE(B15)))"),"")</f>
        <v/>
      </c>
      <c r="G15" s="34"/>
      <c r="H15" s="35"/>
      <c r="I15" s="36"/>
      <c r="J15" s="43" t="str">
        <f>IFERROR(__xludf.DUMMYFUNCTION("IF(ISBLANK(B15),,IFERROR(SPARKLINE(GOOGLEFINANCE(B15,""price"",TODAY()-365,TODAY(),""daily""),{""charttype"",""line"";""linewidth"",1;""color"",""#88d4c3""})))"),"")</f>
        <v/>
      </c>
      <c r="K15" s="44"/>
      <c r="L15" s="44"/>
      <c r="M15" s="49" t="str">
        <f>IFERROR(__xludf.DUMMYFUNCTION("IFERROR(IF(ISBLANK(B15),,GOOGLEFINANCE(B15, ""changepct"")/100))"),"")</f>
        <v/>
      </c>
    </row>
    <row r="16" ht="26.25" customHeight="1">
      <c r="A16" s="8"/>
      <c r="B16" s="30"/>
      <c r="C16" s="11"/>
      <c r="D16" s="52"/>
      <c r="E16" s="32"/>
      <c r="F16" s="33" t="str">
        <f>IFERROR(__xludf.DUMMYFUNCTION("IF(ISBLANK(B16),,IFERROR(GOOGLEFINANCE(B16)))"),"")</f>
        <v/>
      </c>
      <c r="G16" s="34"/>
      <c r="H16" s="35"/>
      <c r="I16" s="36"/>
      <c r="J16" s="43" t="str">
        <f>IFERROR(__xludf.DUMMYFUNCTION("IF(ISBLANK(B16),,IFERROR(SPARKLINE(GOOGLEFINANCE(B16,""price"",TODAY()-365,TODAY(),""daily""),{""charttype"",""line"";""linewidth"",1;""color"",""#88d4c3""})))"),"")</f>
        <v/>
      </c>
      <c r="K16" s="44"/>
      <c r="L16" s="44"/>
      <c r="M16" s="49" t="str">
        <f>IFERROR(__xludf.DUMMYFUNCTION("IFERROR(IF(ISBLANK(B16),,GOOGLEFINANCE(B16, ""changepct"")/100))"),"")</f>
        <v/>
      </c>
    </row>
    <row r="17" ht="26.25" customHeight="1">
      <c r="A17" s="8"/>
      <c r="B17" s="30"/>
      <c r="C17" s="11"/>
      <c r="D17" s="52"/>
      <c r="E17" s="32"/>
      <c r="F17" s="33" t="str">
        <f>IFERROR(__xludf.DUMMYFUNCTION("IF(ISBLANK(B17),,IFERROR(GOOGLEFINANCE(B17)))"),"")</f>
        <v/>
      </c>
      <c r="G17" s="34"/>
      <c r="H17" s="35"/>
      <c r="I17" s="36"/>
      <c r="J17" s="43" t="str">
        <f>IFERROR(__xludf.DUMMYFUNCTION("IF(ISBLANK(B17),,IFERROR(SPARKLINE(GOOGLEFINANCE(B17,""price"",TODAY()-365,TODAY(),""daily""),{""charttype"",""line"";""linewidth"",1;""color"",""#88d4c3""})))"),"")</f>
        <v/>
      </c>
      <c r="K17" s="44"/>
      <c r="L17" s="44"/>
      <c r="M17" s="49" t="str">
        <f>IFERROR(__xludf.DUMMYFUNCTION("IFERROR(IF(ISBLANK(B17),,GOOGLEFINANCE(B17, ""changepct"")/100))"),"")</f>
        <v/>
      </c>
    </row>
    <row r="18" ht="26.25" customHeight="1">
      <c r="A18" s="8"/>
      <c r="B18" s="30"/>
      <c r="C18" s="11"/>
      <c r="D18" s="52"/>
      <c r="E18" s="32"/>
      <c r="F18" s="33" t="str">
        <f>IFERROR(__xludf.DUMMYFUNCTION("IF(ISBLANK(B18),,IFERROR(GOOGLEFINANCE(B18)))"),"")</f>
        <v/>
      </c>
      <c r="G18" s="34"/>
      <c r="H18" s="35"/>
      <c r="I18" s="36"/>
      <c r="J18" s="43" t="str">
        <f>IFERROR(__xludf.DUMMYFUNCTION("IF(ISBLANK(B18),,IFERROR(SPARKLINE(GOOGLEFINANCE(B18,""price"",TODAY()-365,TODAY(),""daily""),{""charttype"",""line"";""linewidth"",1;""color"",""#88d4c3""})))"),"")</f>
        <v/>
      </c>
      <c r="K18" s="44"/>
      <c r="L18" s="44"/>
      <c r="M18" s="49" t="str">
        <f>IFERROR(__xludf.DUMMYFUNCTION("IFERROR(IF(ISBLANK(B18),,GOOGLEFINANCE(B18, ""changepct"")/100))"),"")</f>
        <v/>
      </c>
    </row>
    <row r="19" ht="26.25" customHeight="1">
      <c r="A19" s="8"/>
      <c r="B19" s="30"/>
      <c r="C19" s="11"/>
      <c r="D19" s="52"/>
      <c r="E19" s="32"/>
      <c r="F19" s="33" t="str">
        <f>IFERROR(__xludf.DUMMYFUNCTION("IF(ISBLANK(B19),,IFERROR(GOOGLEFINANCE(B19)))"),"")</f>
        <v/>
      </c>
      <c r="G19" s="34"/>
      <c r="H19" s="35"/>
      <c r="I19" s="36"/>
      <c r="J19" s="43" t="str">
        <f>IFERROR(__xludf.DUMMYFUNCTION("IF(ISBLANK(B19),,IFERROR(SPARKLINE(GOOGLEFINANCE(B19,""price"",TODAY()-365,TODAY(),""daily""),{""charttype"",""line"";""linewidth"",1;""color"",""#88d4c3""})))"),"")</f>
        <v/>
      </c>
      <c r="K19" s="44"/>
      <c r="L19" s="44"/>
      <c r="M19" s="49" t="str">
        <f>IFERROR(__xludf.DUMMYFUNCTION("IFERROR(IF(ISBLANK(B19),,GOOGLEFINANCE(B19, ""changepct"")/100))"),"")</f>
        <v/>
      </c>
    </row>
    <row r="20" ht="26.25" customHeight="1">
      <c r="A20" s="8"/>
      <c r="B20" s="69"/>
      <c r="C20" s="70"/>
      <c r="D20" s="71"/>
      <c r="E20" s="72"/>
      <c r="F20" s="73" t="str">
        <f>IFERROR(__xludf.DUMMYFUNCTION("IF(ISBLANK(B20),,IFERROR(GOOGLEFINANCE(B20)))"),"")</f>
        <v/>
      </c>
      <c r="G20" s="74"/>
      <c r="H20" s="75"/>
      <c r="I20" s="76"/>
      <c r="J20" s="78" t="str">
        <f>IFERROR(__xludf.DUMMYFUNCTION("IF(ISBLANK(B20),,IFERROR(SPARKLINE(GOOGLEFINANCE(B20,""price"",TODAY()-365,TODAY(),""daily""),{""charttype"",""line"";""linewidth"",1;""color"",""#88d4c3""})))"),"")</f>
        <v/>
      </c>
      <c r="K20" s="79"/>
      <c r="L20" s="79"/>
      <c r="M20" s="80" t="str">
        <f>IFERROR(__xludf.DUMMYFUNCTION("IFERROR(IF(ISBLANK(B20),,GOOGLEFINANCE(B20, ""changepct"")/100))"),"")</f>
        <v/>
      </c>
    </row>
    <row r="21">
      <c r="A21" s="8"/>
      <c r="B21" s="8"/>
      <c r="C21" s="8"/>
      <c r="D21" s="8"/>
      <c r="E21" s="8"/>
      <c r="F21" s="8"/>
      <c r="G21" s="82"/>
      <c r="H21" s="82"/>
      <c r="I21" s="82"/>
    </row>
    <row r="22">
      <c r="A22" s="8"/>
      <c r="B22" s="8"/>
      <c r="C22" s="8"/>
      <c r="D22" s="8"/>
      <c r="E22" s="8"/>
      <c r="F22" s="8"/>
      <c r="G22" s="82"/>
      <c r="H22" s="82"/>
      <c r="I22" s="82"/>
    </row>
  </sheetData>
  <mergeCells count="31">
    <mergeCell ref="J8:L8"/>
    <mergeCell ref="J9:L9"/>
    <mergeCell ref="B1:N1"/>
    <mergeCell ref="B6:C6"/>
    <mergeCell ref="J6:L6"/>
    <mergeCell ref="B7:C7"/>
    <mergeCell ref="J7:L7"/>
    <mergeCell ref="B8:C8"/>
    <mergeCell ref="B9:C9"/>
    <mergeCell ref="B13:C13"/>
    <mergeCell ref="B14:C14"/>
    <mergeCell ref="B15:C15"/>
    <mergeCell ref="B16:C16"/>
    <mergeCell ref="B17:C17"/>
    <mergeCell ref="B18:C18"/>
    <mergeCell ref="B19:C19"/>
    <mergeCell ref="B20:C20"/>
    <mergeCell ref="J14:L14"/>
    <mergeCell ref="J15:L15"/>
    <mergeCell ref="J16:L16"/>
    <mergeCell ref="J17:L17"/>
    <mergeCell ref="J18:L18"/>
    <mergeCell ref="J19:L19"/>
    <mergeCell ref="J20:L20"/>
    <mergeCell ref="B10:C10"/>
    <mergeCell ref="J10:L10"/>
    <mergeCell ref="B11:C11"/>
    <mergeCell ref="J11:L11"/>
    <mergeCell ref="B12:C12"/>
    <mergeCell ref="J12:L12"/>
    <mergeCell ref="J13:L13"/>
  </mergeCells>
  <conditionalFormatting sqref="G7:G20 I7:I20 M7:M20">
    <cfRule type="cellIs" dxfId="0" priority="1" operator="greaterThan">
      <formula>0</formula>
    </cfRule>
  </conditionalFormatting>
  <conditionalFormatting sqref="G7:G20 I7:I20 M7:M20">
    <cfRule type="cellIs" dxfId="1" priority="2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88"/>
    <col customWidth="1" min="3" max="3" width="6.63"/>
  </cols>
  <sheetData>
    <row r="1" ht="45.0" customHeight="1">
      <c r="A1" s="5" t="s">
        <v>45</v>
      </c>
    </row>
    <row r="2" ht="18.0" customHeight="1">
      <c r="A2" s="87"/>
      <c r="B2" s="87"/>
      <c r="C2" s="88"/>
      <c r="D2" s="88"/>
      <c r="E2" s="89"/>
      <c r="I2" s="87"/>
      <c r="J2" s="87"/>
      <c r="K2" s="87"/>
      <c r="L2" s="87"/>
      <c r="M2" s="87"/>
      <c r="N2" s="87"/>
      <c r="O2" s="87"/>
    </row>
    <row r="3" ht="18.0" customHeight="1">
      <c r="A3" s="87"/>
      <c r="B3" s="87"/>
      <c r="C3" s="88"/>
      <c r="D3" s="88"/>
      <c r="E3" s="89"/>
      <c r="I3" s="87"/>
      <c r="J3" s="87"/>
      <c r="K3" s="87"/>
      <c r="L3" s="87"/>
      <c r="M3" s="87"/>
      <c r="N3" s="87"/>
      <c r="O3" s="87"/>
    </row>
    <row r="4" ht="18.0" customHeight="1">
      <c r="A4" s="87"/>
      <c r="B4" s="87"/>
      <c r="C4" s="88"/>
      <c r="D4" s="88"/>
      <c r="E4" s="89"/>
      <c r="I4" s="87"/>
      <c r="J4" s="87"/>
      <c r="K4" s="87"/>
      <c r="L4" s="87"/>
      <c r="M4" s="87"/>
      <c r="N4" s="87"/>
      <c r="O4" s="87"/>
    </row>
    <row r="5" ht="18.0" customHeight="1">
      <c r="A5" s="87"/>
      <c r="B5" s="87"/>
      <c r="C5" s="88"/>
      <c r="D5" s="88"/>
      <c r="E5" s="89"/>
      <c r="I5" s="87"/>
      <c r="J5" s="87"/>
      <c r="K5" s="87"/>
      <c r="L5" s="87"/>
      <c r="M5" s="87"/>
      <c r="N5" s="87"/>
      <c r="O5" s="87"/>
    </row>
    <row r="6" ht="18.0" customHeight="1">
      <c r="A6" s="87"/>
      <c r="B6" s="87"/>
      <c r="C6" s="88"/>
      <c r="D6" s="88"/>
      <c r="E6" s="89"/>
      <c r="G6" s="91" t="s">
        <v>46</v>
      </c>
      <c r="H6" s="92"/>
      <c r="I6" s="94">
        <v>40000.0</v>
      </c>
      <c r="J6" s="95"/>
      <c r="K6" s="87"/>
      <c r="L6" s="87"/>
      <c r="M6" s="87"/>
      <c r="N6" s="87"/>
      <c r="O6" s="87"/>
    </row>
    <row r="7" ht="18.0" customHeight="1">
      <c r="A7" s="87"/>
      <c r="B7" s="87"/>
      <c r="C7" s="87"/>
      <c r="D7" s="87"/>
      <c r="E7" s="87"/>
      <c r="G7" s="97" t="s">
        <v>47</v>
      </c>
      <c r="I7" s="98">
        <v>0.06</v>
      </c>
      <c r="J7" s="99"/>
      <c r="K7" s="87"/>
      <c r="L7" s="87"/>
      <c r="M7" s="87"/>
      <c r="N7" s="87"/>
      <c r="O7" s="87"/>
    </row>
    <row r="8">
      <c r="A8" s="87"/>
      <c r="B8" s="87"/>
      <c r="C8" s="87"/>
      <c r="D8" s="87"/>
      <c r="E8" s="87"/>
      <c r="G8" s="100" t="s">
        <v>48</v>
      </c>
      <c r="I8" s="101">
        <v>8.0</v>
      </c>
      <c r="J8" s="99"/>
      <c r="K8" s="87"/>
      <c r="L8" s="87"/>
      <c r="M8" s="87"/>
      <c r="N8" s="87"/>
      <c r="O8" s="87"/>
    </row>
    <row r="9">
      <c r="A9" s="87"/>
      <c r="B9" s="87"/>
      <c r="C9" s="87"/>
      <c r="D9" s="87"/>
      <c r="E9" s="87"/>
      <c r="G9" s="100" t="s">
        <v>49</v>
      </c>
      <c r="I9" s="103">
        <f>PMT(I7/12,I8*12,-I6)</f>
        <v>525.6572084</v>
      </c>
      <c r="J9" s="104"/>
      <c r="K9" s="87"/>
      <c r="L9" s="87"/>
      <c r="M9" s="87"/>
      <c r="N9" s="87"/>
      <c r="O9" s="87"/>
    </row>
    <row r="10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</row>
    <row r="11">
      <c r="A11" s="87"/>
      <c r="B11" s="87"/>
      <c r="C11" s="87"/>
      <c r="D11" s="106" t="s">
        <v>50</v>
      </c>
      <c r="N11" s="87"/>
      <c r="O11" s="87"/>
    </row>
    <row r="12">
      <c r="A12" s="87"/>
      <c r="B12" s="87"/>
      <c r="C12" s="108"/>
      <c r="D12" s="110">
        <v>1.0</v>
      </c>
      <c r="E12" s="111">
        <f t="shared" ref="E12:M12" si="1">D12+1</f>
        <v>2</v>
      </c>
      <c r="F12" s="111">
        <f t="shared" si="1"/>
        <v>3</v>
      </c>
      <c r="G12" s="111">
        <f t="shared" si="1"/>
        <v>4</v>
      </c>
      <c r="H12" s="111">
        <f t="shared" si="1"/>
        <v>5</v>
      </c>
      <c r="I12" s="111">
        <f t="shared" si="1"/>
        <v>6</v>
      </c>
      <c r="J12" s="111">
        <f t="shared" si="1"/>
        <v>7</v>
      </c>
      <c r="K12" s="111">
        <f t="shared" si="1"/>
        <v>8</v>
      </c>
      <c r="L12" s="111">
        <f t="shared" si="1"/>
        <v>9</v>
      </c>
      <c r="M12" s="112">
        <f t="shared" si="1"/>
        <v>10</v>
      </c>
      <c r="N12" s="87"/>
      <c r="O12" s="87"/>
    </row>
    <row r="13">
      <c r="A13" s="87"/>
      <c r="B13" s="87"/>
      <c r="C13" s="113">
        <v>0.04</v>
      </c>
      <c r="D13" s="114">
        <f t="shared" ref="D13:M13" si="2">PMT($C13/12,D$12*12,-$I$6)</f>
        <v>3405.996168</v>
      </c>
      <c r="E13" s="114">
        <f t="shared" si="2"/>
        <v>1736.996887</v>
      </c>
      <c r="F13" s="114">
        <f t="shared" si="2"/>
        <v>1180.9594</v>
      </c>
      <c r="G13" s="114">
        <f t="shared" si="2"/>
        <v>903.1621857</v>
      </c>
      <c r="H13" s="114">
        <f t="shared" si="2"/>
        <v>736.6608822</v>
      </c>
      <c r="I13" s="114">
        <f t="shared" si="2"/>
        <v>625.8073229</v>
      </c>
      <c r="J13" s="114">
        <f t="shared" si="2"/>
        <v>546.7522535</v>
      </c>
      <c r="K13" s="114">
        <f t="shared" si="2"/>
        <v>487.5710121</v>
      </c>
      <c r="L13" s="114">
        <f t="shared" si="2"/>
        <v>441.6387561</v>
      </c>
      <c r="M13" s="114">
        <f t="shared" si="2"/>
        <v>404.9805527</v>
      </c>
      <c r="N13" s="87"/>
      <c r="O13" s="87"/>
    </row>
    <row r="14">
      <c r="A14" s="87"/>
      <c r="B14" s="87"/>
      <c r="C14" s="113">
        <v>0.045</v>
      </c>
      <c r="D14" s="114">
        <f t="shared" ref="D14:M14" si="3">PMT($C14/12,D$12*12,-$I$6)</f>
        <v>3415.140863</v>
      </c>
      <c r="E14" s="114">
        <f t="shared" si="3"/>
        <v>1745.912462</v>
      </c>
      <c r="F14" s="114">
        <f t="shared" si="3"/>
        <v>1189.876979</v>
      </c>
      <c r="G14" s="114">
        <f t="shared" si="3"/>
        <v>912.1394431</v>
      </c>
      <c r="H14" s="114">
        <f t="shared" si="3"/>
        <v>745.7207697</v>
      </c>
      <c r="I14" s="114">
        <f t="shared" si="3"/>
        <v>634.9611894</v>
      </c>
      <c r="J14" s="114">
        <f t="shared" si="3"/>
        <v>556.006452</v>
      </c>
      <c r="K14" s="114">
        <f t="shared" si="3"/>
        <v>496.9293769</v>
      </c>
      <c r="L14" s="114">
        <f t="shared" si="3"/>
        <v>451.1037043</v>
      </c>
      <c r="M14" s="114">
        <f t="shared" si="3"/>
        <v>414.553635</v>
      </c>
      <c r="N14" s="87"/>
      <c r="O14" s="87"/>
    </row>
    <row r="15">
      <c r="A15" s="87"/>
      <c r="B15" s="87"/>
      <c r="C15" s="113">
        <v>0.05</v>
      </c>
      <c r="D15" s="114">
        <f t="shared" ref="D15:M15" si="4">PMT($C15/12,D$12*12,-$I$6)</f>
        <v>3424.299272</v>
      </c>
      <c r="E15" s="114">
        <f t="shared" si="4"/>
        <v>1754.855589</v>
      </c>
      <c r="F15" s="114">
        <f t="shared" si="4"/>
        <v>1198.835884</v>
      </c>
      <c r="G15" s="114">
        <f t="shared" si="4"/>
        <v>921.1717428</v>
      </c>
      <c r="H15" s="114">
        <f t="shared" si="4"/>
        <v>754.8493458</v>
      </c>
      <c r="I15" s="114">
        <f t="shared" si="4"/>
        <v>644.1973065</v>
      </c>
      <c r="J15" s="114">
        <f t="shared" si="4"/>
        <v>565.3563629</v>
      </c>
      <c r="K15" s="114">
        <f t="shared" si="4"/>
        <v>506.3968005</v>
      </c>
      <c r="L15" s="114">
        <f t="shared" si="4"/>
        <v>460.6909267</v>
      </c>
      <c r="M15" s="114">
        <f t="shared" si="4"/>
        <v>424.262061</v>
      </c>
      <c r="N15" s="87"/>
      <c r="O15" s="87"/>
    </row>
    <row r="16">
      <c r="A16" s="87"/>
      <c r="B16" s="87"/>
      <c r="C16" s="113">
        <v>0.055</v>
      </c>
      <c r="D16" s="114">
        <f t="shared" ref="D16:M16" si="5">PMT($C16/12,D$12*12,-$I$6)</f>
        <v>3433.471383</v>
      </c>
      <c r="E16" s="114">
        <f t="shared" si="5"/>
        <v>1763.826246</v>
      </c>
      <c r="F16" s="114">
        <f t="shared" si="5"/>
        <v>1207.836072</v>
      </c>
      <c r="G16" s="114">
        <f t="shared" si="5"/>
        <v>930.2590091</v>
      </c>
      <c r="H16" s="114">
        <f t="shared" si="5"/>
        <v>764.0464869</v>
      </c>
      <c r="I16" s="114">
        <f t="shared" si="5"/>
        <v>653.5154834</v>
      </c>
      <c r="J16" s="114">
        <f t="shared" si="5"/>
        <v>574.8017061</v>
      </c>
      <c r="K16" s="114">
        <f t="shared" si="5"/>
        <v>515.9728871</v>
      </c>
      <c r="L16" s="114">
        <f t="shared" si="5"/>
        <v>470.3998825</v>
      </c>
      <c r="M16" s="114">
        <f t="shared" si="5"/>
        <v>434.1051118</v>
      </c>
      <c r="N16" s="87"/>
      <c r="O16" s="87"/>
    </row>
    <row r="17">
      <c r="A17" s="87"/>
      <c r="B17" s="87"/>
      <c r="C17" s="113">
        <v>0.06</v>
      </c>
      <c r="D17" s="114">
        <f t="shared" ref="D17:M17" si="6">PMT($C17/12,D$12*12,-$I$6)</f>
        <v>3442.657188</v>
      </c>
      <c r="E17" s="114">
        <f t="shared" si="6"/>
        <v>1772.82441</v>
      </c>
      <c r="F17" s="114">
        <f t="shared" si="6"/>
        <v>1216.877498</v>
      </c>
      <c r="G17" s="114">
        <f t="shared" si="6"/>
        <v>939.4011619</v>
      </c>
      <c r="H17" s="114">
        <f t="shared" si="6"/>
        <v>773.3120612</v>
      </c>
      <c r="I17" s="114">
        <f t="shared" si="6"/>
        <v>662.9155157</v>
      </c>
      <c r="J17" s="114">
        <f t="shared" si="6"/>
        <v>584.3421794</v>
      </c>
      <c r="K17" s="114">
        <f t="shared" si="6"/>
        <v>525.6572084</v>
      </c>
      <c r="L17" s="114">
        <f t="shared" si="6"/>
        <v>480.2299852</v>
      </c>
      <c r="M17" s="114">
        <f t="shared" si="6"/>
        <v>444.0820078</v>
      </c>
      <c r="N17" s="87"/>
      <c r="O17" s="87"/>
    </row>
    <row r="18">
      <c r="A18" s="87"/>
      <c r="B18" s="87"/>
      <c r="C18" s="113">
        <v>0.065</v>
      </c>
      <c r="D18" s="114">
        <f t="shared" ref="D18:M18" si="7">PMT($C18/12,D$12*12,-$I$6)</f>
        <v>3451.856678</v>
      </c>
      <c r="E18" s="114">
        <f t="shared" si="7"/>
        <v>1781.850057</v>
      </c>
      <c r="F18" s="114">
        <f t="shared" si="7"/>
        <v>1225.960115</v>
      </c>
      <c r="G18" s="114">
        <f t="shared" si="7"/>
        <v>948.5981172</v>
      </c>
      <c r="H18" s="114">
        <f t="shared" si="7"/>
        <v>782.6459287</v>
      </c>
      <c r="I18" s="114">
        <f t="shared" si="7"/>
        <v>672.397185</v>
      </c>
      <c r="J18" s="114">
        <f t="shared" si="7"/>
        <v>593.9774589</v>
      </c>
      <c r="K18" s="114">
        <f t="shared" si="7"/>
        <v>535.4493043</v>
      </c>
      <c r="L18" s="114">
        <f t="shared" si="7"/>
        <v>490.1806039</v>
      </c>
      <c r="M18" s="114">
        <f t="shared" si="7"/>
        <v>454.1919089</v>
      </c>
      <c r="N18" s="87"/>
      <c r="O18" s="87"/>
    </row>
    <row r="19">
      <c r="A19" s="87"/>
      <c r="B19" s="87"/>
      <c r="C19" s="113">
        <v>0.0699999999999999</v>
      </c>
      <c r="D19" s="114">
        <f t="shared" ref="D19:M19" si="8">PMT($C19/12,D$12*12,-$I$6)</f>
        <v>3461.069844</v>
      </c>
      <c r="E19" s="114">
        <f t="shared" si="8"/>
        <v>1790.903164</v>
      </c>
      <c r="F19" s="114">
        <f t="shared" si="8"/>
        <v>1235.083875</v>
      </c>
      <c r="G19" s="114">
        <f t="shared" si="8"/>
        <v>957.8497865</v>
      </c>
      <c r="H19" s="114">
        <f t="shared" si="8"/>
        <v>792.0479416</v>
      </c>
      <c r="I19" s="114">
        <f t="shared" si="8"/>
        <v>681.9602589</v>
      </c>
      <c r="J19" s="114">
        <f t="shared" si="8"/>
        <v>603.7071993</v>
      </c>
      <c r="K19" s="114">
        <f t="shared" si="8"/>
        <v>545.3486832</v>
      </c>
      <c r="L19" s="114">
        <f t="shared" si="8"/>
        <v>500.2510638</v>
      </c>
      <c r="M19" s="114">
        <f t="shared" si="8"/>
        <v>464.4339169</v>
      </c>
      <c r="N19" s="87"/>
      <c r="O19" s="87"/>
    </row>
    <row r="20">
      <c r="A20" s="87"/>
      <c r="B20" s="87"/>
      <c r="C20" s="113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</row>
    <row r="21">
      <c r="A21" s="87"/>
      <c r="B21" s="87"/>
      <c r="C21" s="115"/>
      <c r="D21" s="106" t="s">
        <v>39</v>
      </c>
      <c r="N21" s="87"/>
      <c r="O21" s="87"/>
    </row>
    <row r="22">
      <c r="A22" s="87"/>
      <c r="B22" s="87"/>
      <c r="C22" s="115"/>
      <c r="D22" s="110">
        <v>1.0</v>
      </c>
      <c r="E22" s="111">
        <f t="shared" ref="E22:M22" si="9">D22+1</f>
        <v>2</v>
      </c>
      <c r="F22" s="111">
        <f t="shared" si="9"/>
        <v>3</v>
      </c>
      <c r="G22" s="111">
        <f t="shared" si="9"/>
        <v>4</v>
      </c>
      <c r="H22" s="111">
        <f t="shared" si="9"/>
        <v>5</v>
      </c>
      <c r="I22" s="111">
        <f t="shared" si="9"/>
        <v>6</v>
      </c>
      <c r="J22" s="111">
        <f t="shared" si="9"/>
        <v>7</v>
      </c>
      <c r="K22" s="111">
        <f t="shared" si="9"/>
        <v>8</v>
      </c>
      <c r="L22" s="111">
        <f t="shared" si="9"/>
        <v>9</v>
      </c>
      <c r="M22" s="112">
        <f t="shared" si="9"/>
        <v>10</v>
      </c>
      <c r="N22" s="87"/>
      <c r="O22" s="87"/>
    </row>
    <row r="23">
      <c r="A23" s="87"/>
      <c r="B23" s="87"/>
      <c r="C23" s="118">
        <v>0.04</v>
      </c>
      <c r="D23" s="114">
        <f t="shared" ref="D23:M23" si="10">D13*D$12*12-$I$6</f>
        <v>871.9540139</v>
      </c>
      <c r="E23" s="114">
        <f t="shared" si="10"/>
        <v>1687.925284</v>
      </c>
      <c r="F23" s="114">
        <f t="shared" si="10"/>
        <v>2514.53841</v>
      </c>
      <c r="G23" s="114">
        <f t="shared" si="10"/>
        <v>3351.784912</v>
      </c>
      <c r="H23" s="114">
        <f t="shared" si="10"/>
        <v>4199.652933</v>
      </c>
      <c r="I23" s="114">
        <f t="shared" si="10"/>
        <v>5058.127249</v>
      </c>
      <c r="J23" s="114">
        <f t="shared" si="10"/>
        <v>5927.189291</v>
      </c>
      <c r="K23" s="114">
        <f t="shared" si="10"/>
        <v>6806.817161</v>
      </c>
      <c r="L23" s="114">
        <f t="shared" si="10"/>
        <v>7696.985661</v>
      </c>
      <c r="M23" s="114">
        <f t="shared" si="10"/>
        <v>8597.666319</v>
      </c>
      <c r="N23" s="87"/>
      <c r="O23" s="87"/>
    </row>
    <row r="24">
      <c r="A24" s="87"/>
      <c r="B24" s="87"/>
      <c r="C24" s="118">
        <v>0.045</v>
      </c>
      <c r="D24" s="114">
        <f t="shared" ref="D24:M24" si="11">D14*D$12*12-$I$6</f>
        <v>981.6903615</v>
      </c>
      <c r="E24" s="114">
        <f t="shared" si="11"/>
        <v>1901.89909</v>
      </c>
      <c r="F24" s="114">
        <f t="shared" si="11"/>
        <v>2835.571249</v>
      </c>
      <c r="G24" s="114">
        <f t="shared" si="11"/>
        <v>3782.693269</v>
      </c>
      <c r="H24" s="114">
        <f t="shared" si="11"/>
        <v>4743.24618</v>
      </c>
      <c r="I24" s="114">
        <f t="shared" si="11"/>
        <v>5717.205639</v>
      </c>
      <c r="J24" s="114">
        <f t="shared" si="11"/>
        <v>6704.541965</v>
      </c>
      <c r="K24" s="114">
        <f t="shared" si="11"/>
        <v>7705.220181</v>
      </c>
      <c r="L24" s="114">
        <f t="shared" si="11"/>
        <v>8719.200065</v>
      </c>
      <c r="M24" s="114">
        <f t="shared" si="11"/>
        <v>9746.436203</v>
      </c>
      <c r="N24" s="87"/>
      <c r="O24" s="87"/>
    </row>
    <row r="25">
      <c r="A25" s="87"/>
      <c r="B25" s="87"/>
      <c r="C25" s="118">
        <v>0.05</v>
      </c>
      <c r="D25" s="114">
        <f t="shared" ref="D25:M25" si="12">D15*D$12*12-$I$6</f>
        <v>1091.591258</v>
      </c>
      <c r="E25" s="114">
        <f t="shared" si="12"/>
        <v>2116.534145</v>
      </c>
      <c r="F25" s="114">
        <f t="shared" si="12"/>
        <v>3158.091831</v>
      </c>
      <c r="G25" s="114">
        <f t="shared" si="12"/>
        <v>4216.243656</v>
      </c>
      <c r="H25" s="114">
        <f t="shared" si="12"/>
        <v>5290.960746</v>
      </c>
      <c r="I25" s="114">
        <f t="shared" si="12"/>
        <v>6382.206065</v>
      </c>
      <c r="J25" s="114">
        <f t="shared" si="12"/>
        <v>7489.934482</v>
      </c>
      <c r="K25" s="114">
        <f t="shared" si="12"/>
        <v>8614.092847</v>
      </c>
      <c r="L25" s="114">
        <f t="shared" si="12"/>
        <v>9754.620087</v>
      </c>
      <c r="M25" s="114">
        <f t="shared" si="12"/>
        <v>10911.44731</v>
      </c>
      <c r="N25" s="87"/>
      <c r="O25" s="87"/>
    </row>
    <row r="26">
      <c r="A26" s="87"/>
      <c r="B26" s="87"/>
      <c r="C26" s="118">
        <v>0.055</v>
      </c>
      <c r="D26" s="114">
        <f t="shared" ref="D26:M26" si="13">D16*D$12*12-$I$6</f>
        <v>1201.656595</v>
      </c>
      <c r="E26" s="114">
        <f t="shared" si="13"/>
        <v>2331.829912</v>
      </c>
      <c r="F26" s="114">
        <f t="shared" si="13"/>
        <v>3482.098598</v>
      </c>
      <c r="G26" s="114">
        <f t="shared" si="13"/>
        <v>4652.432436</v>
      </c>
      <c r="H26" s="114">
        <f t="shared" si="13"/>
        <v>5842.789212</v>
      </c>
      <c r="I26" s="114">
        <f t="shared" si="13"/>
        <v>7053.114806</v>
      </c>
      <c r="J26" s="114">
        <f t="shared" si="13"/>
        <v>8283.343309</v>
      </c>
      <c r="K26" s="114">
        <f t="shared" si="13"/>
        <v>9533.397159</v>
      </c>
      <c r="L26" s="114">
        <f t="shared" si="13"/>
        <v>10803.18731</v>
      </c>
      <c r="M26" s="114">
        <f t="shared" si="13"/>
        <v>12092.61342</v>
      </c>
      <c r="N26" s="87"/>
      <c r="O26" s="87"/>
    </row>
    <row r="27">
      <c r="A27" s="87"/>
      <c r="B27" s="87"/>
      <c r="C27" s="118">
        <v>0.06</v>
      </c>
      <c r="D27" s="114">
        <f t="shared" ref="D27:M27" si="14">D17*D$12*12-$I$6</f>
        <v>1311.886259</v>
      </c>
      <c r="E27" s="114">
        <f t="shared" si="14"/>
        <v>2547.785843</v>
      </c>
      <c r="F27" s="114">
        <f t="shared" si="14"/>
        <v>3807.58993</v>
      </c>
      <c r="G27" s="114">
        <f t="shared" si="14"/>
        <v>5091.255772</v>
      </c>
      <c r="H27" s="114">
        <f t="shared" si="14"/>
        <v>6398.723671</v>
      </c>
      <c r="I27" s="114">
        <f t="shared" si="14"/>
        <v>7729.917133</v>
      </c>
      <c r="J27" s="114">
        <f t="shared" si="14"/>
        <v>9084.743066</v>
      </c>
      <c r="K27" s="114">
        <f t="shared" si="14"/>
        <v>10463.09201</v>
      </c>
      <c r="L27" s="114">
        <f t="shared" si="14"/>
        <v>11864.83841</v>
      </c>
      <c r="M27" s="114">
        <f t="shared" si="14"/>
        <v>13289.84093</v>
      </c>
      <c r="N27" s="87"/>
      <c r="O27" s="87"/>
    </row>
    <row r="28">
      <c r="A28" s="87"/>
      <c r="B28" s="87"/>
      <c r="C28" s="118">
        <v>0.065</v>
      </c>
      <c r="D28" s="114">
        <f t="shared" ref="D28:M28" si="15">D18*D$12*12-$I$6</f>
        <v>1422.280141</v>
      </c>
      <c r="E28" s="114">
        <f t="shared" si="15"/>
        <v>2764.401376</v>
      </c>
      <c r="F28" s="114">
        <f t="shared" si="15"/>
        <v>4134.564142</v>
      </c>
      <c r="G28" s="114">
        <f t="shared" si="15"/>
        <v>5532.709623</v>
      </c>
      <c r="H28" s="114">
        <f t="shared" si="15"/>
        <v>6958.755725</v>
      </c>
      <c r="I28" s="114">
        <f t="shared" si="15"/>
        <v>8412.597316</v>
      </c>
      <c r="J28" s="114">
        <f t="shared" si="15"/>
        <v>9894.106545</v>
      </c>
      <c r="K28" s="114">
        <f t="shared" si="15"/>
        <v>11403.13321</v>
      </c>
      <c r="L28" s="114">
        <f t="shared" si="15"/>
        <v>12939.50522</v>
      </c>
      <c r="M28" s="114">
        <f t="shared" si="15"/>
        <v>14503.02907</v>
      </c>
      <c r="N28" s="87"/>
      <c r="O28" s="87"/>
    </row>
    <row r="29">
      <c r="A29" s="87"/>
      <c r="B29" s="87"/>
      <c r="C29" s="118">
        <v>0.0699999999999999</v>
      </c>
      <c r="D29" s="114">
        <f t="shared" ref="D29:M29" si="16">D19*D$12*12-$I$6</f>
        <v>1532.838127</v>
      </c>
      <c r="E29" s="114">
        <f t="shared" si="16"/>
        <v>2981.675939</v>
      </c>
      <c r="F29" s="114">
        <f t="shared" si="16"/>
        <v>4463.019486</v>
      </c>
      <c r="G29" s="114">
        <f t="shared" si="16"/>
        <v>5976.789752</v>
      </c>
      <c r="H29" s="114">
        <f t="shared" si="16"/>
        <v>7522.876497</v>
      </c>
      <c r="I29" s="114">
        <f t="shared" si="16"/>
        <v>9101.138639</v>
      </c>
      <c r="J29" s="114">
        <f t="shared" si="16"/>
        <v>10711.40474</v>
      </c>
      <c r="K29" s="114">
        <f t="shared" si="16"/>
        <v>12353.47359</v>
      </c>
      <c r="L29" s="114">
        <f t="shared" si="16"/>
        <v>14027.11489</v>
      </c>
      <c r="M29" s="114">
        <f t="shared" si="16"/>
        <v>15732.07002</v>
      </c>
      <c r="N29" s="87"/>
      <c r="O29" s="87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</row>
  </sheetData>
  <mergeCells count="11">
    <mergeCell ref="G9:H9"/>
    <mergeCell ref="I9:J9"/>
    <mergeCell ref="D11:M11"/>
    <mergeCell ref="D21:M21"/>
    <mergeCell ref="A1:O1"/>
    <mergeCell ref="G6:H6"/>
    <mergeCell ref="I6:J6"/>
    <mergeCell ref="G7:H7"/>
    <mergeCell ref="I7:J7"/>
    <mergeCell ref="G8:H8"/>
    <mergeCell ref="I8:J8"/>
  </mergeCells>
  <conditionalFormatting sqref="D23:M29">
    <cfRule type="cellIs" dxfId="5" priority="1" operator="lessThan">
      <formula>7000</formula>
    </cfRule>
  </conditionalFormatting>
  <conditionalFormatting sqref="D13:M19">
    <cfRule type="cellIs" dxfId="6" priority="2" operator="lessThan">
      <formula>500</formula>
    </cfRule>
  </conditionalFormatting>
  <dataValidations>
    <dataValidation type="list" allowBlank="1" sqref="D12 D22">
      <formula1>'Back Door'!$E$4:$E$13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DDE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63"/>
    <col customWidth="1" min="2" max="6" width="22.88"/>
    <col customWidth="1" min="7" max="7" width="13.25"/>
  </cols>
  <sheetData>
    <row r="1">
      <c r="A1" s="119" t="s">
        <v>51</v>
      </c>
    </row>
    <row r="2" ht="45.0" customHeight="1">
      <c r="A2" s="2"/>
      <c r="B2" s="2"/>
      <c r="C2" s="2"/>
      <c r="D2" s="2"/>
      <c r="E2" s="2"/>
      <c r="F2" s="2"/>
      <c r="G2" s="2"/>
    </row>
    <row r="3">
      <c r="A3" s="3"/>
      <c r="B3" s="3"/>
      <c r="C3" s="121"/>
      <c r="D3" s="4"/>
      <c r="E3" s="3"/>
      <c r="F3" s="3"/>
      <c r="G3" s="3"/>
    </row>
    <row r="4">
      <c r="A4" s="3"/>
      <c r="B4" s="3"/>
      <c r="C4" s="121"/>
      <c r="D4" s="4"/>
      <c r="E4" s="3"/>
      <c r="F4" s="3"/>
      <c r="G4" s="3"/>
    </row>
    <row r="5">
      <c r="A5" s="126"/>
      <c r="B5" s="126"/>
      <c r="C5" s="129"/>
      <c r="D5" s="131"/>
      <c r="E5" s="126"/>
      <c r="F5" s="126"/>
      <c r="G5" s="126"/>
    </row>
    <row r="6">
      <c r="G6" s="126"/>
    </row>
    <row r="7">
      <c r="G7" s="126"/>
    </row>
    <row r="8">
      <c r="G8" s="126"/>
    </row>
    <row r="9">
      <c r="D9" s="132" t="s">
        <v>54</v>
      </c>
      <c r="E9" s="133">
        <v>44652.0</v>
      </c>
      <c r="F9" s="134"/>
      <c r="G9" s="126"/>
    </row>
    <row r="10">
      <c r="A10" s="126"/>
      <c r="D10" s="132" t="s">
        <v>55</v>
      </c>
      <c r="E10" s="136">
        <v>100.0</v>
      </c>
      <c r="F10" s="138"/>
      <c r="G10" s="126"/>
    </row>
    <row r="11">
      <c r="A11" s="126"/>
      <c r="D11" s="132" t="s">
        <v>56</v>
      </c>
      <c r="E11" s="136">
        <f>Budget!G32</f>
        <v>630</v>
      </c>
      <c r="F11" s="138"/>
      <c r="G11" s="126"/>
    </row>
    <row r="12">
      <c r="A12" s="126"/>
      <c r="D12" s="141" t="s">
        <v>58</v>
      </c>
      <c r="E12" s="142">
        <v>4000.0</v>
      </c>
      <c r="F12" s="138"/>
      <c r="G12" s="126"/>
    </row>
    <row r="13">
      <c r="A13" s="144"/>
      <c r="B13" s="144"/>
      <c r="C13" s="147"/>
      <c r="D13" s="149" t="s">
        <v>60</v>
      </c>
      <c r="E13" s="153">
        <f>E10+(E11*(Datedif(E9,'Back Door'!J3,"M")))+SUM(D24:D85)</f>
        <v>32560</v>
      </c>
      <c r="F13" s="153"/>
      <c r="G13" s="144"/>
    </row>
    <row r="14">
      <c r="A14" s="144"/>
      <c r="B14" s="144"/>
      <c r="C14" s="147"/>
      <c r="F14" s="153"/>
      <c r="G14" s="144"/>
    </row>
    <row r="15">
      <c r="A15" s="144"/>
      <c r="B15" s="144"/>
      <c r="C15" s="147"/>
      <c r="D15" s="156" t="s">
        <v>65</v>
      </c>
      <c r="E15" s="157">
        <f>E12/E11</f>
        <v>6.349206349</v>
      </c>
      <c r="F15" s="144"/>
      <c r="G15" s="144"/>
    </row>
    <row r="16">
      <c r="A16" s="144"/>
      <c r="B16" s="144"/>
      <c r="C16" s="147"/>
      <c r="D16" s="144"/>
      <c r="E16" s="144"/>
      <c r="F16" s="144"/>
      <c r="G16" s="144"/>
    </row>
    <row r="17">
      <c r="A17" s="144"/>
      <c r="B17" s="144"/>
      <c r="C17" s="147"/>
      <c r="D17" s="144"/>
      <c r="E17" s="144"/>
      <c r="F17" s="144"/>
      <c r="G17" s="144"/>
    </row>
    <row r="18">
      <c r="A18" s="144"/>
      <c r="B18" s="144"/>
      <c r="C18" s="147"/>
      <c r="D18" s="144"/>
      <c r="E18" s="144"/>
      <c r="F18" s="144"/>
      <c r="G18" s="144"/>
    </row>
    <row r="19">
      <c r="A19" s="144"/>
      <c r="B19" s="144"/>
      <c r="C19" s="147"/>
      <c r="D19" s="144"/>
      <c r="E19" s="144"/>
      <c r="F19" s="144"/>
      <c r="G19" s="144"/>
    </row>
    <row r="20">
      <c r="A20" s="144"/>
      <c r="B20" s="144"/>
      <c r="C20" s="147"/>
      <c r="D20" s="144"/>
      <c r="E20" s="144"/>
      <c r="F20" s="144"/>
      <c r="G20" s="144"/>
    </row>
    <row r="21">
      <c r="A21" s="144"/>
      <c r="B21" s="163" t="s">
        <v>67</v>
      </c>
      <c r="C21" s="147"/>
      <c r="D21" s="144"/>
      <c r="E21" s="144"/>
      <c r="F21" s="144"/>
      <c r="G21" s="144"/>
    </row>
    <row r="22">
      <c r="A22" s="144"/>
      <c r="B22" s="144"/>
      <c r="C22" s="147"/>
      <c r="D22" s="144"/>
      <c r="E22" s="144"/>
      <c r="F22" s="144"/>
      <c r="G22" s="144"/>
    </row>
    <row r="23">
      <c r="A23" s="144"/>
      <c r="B23" s="169" t="s">
        <v>1</v>
      </c>
      <c r="C23" s="169" t="s">
        <v>68</v>
      </c>
      <c r="D23" s="169" t="s">
        <v>69</v>
      </c>
      <c r="E23" s="169" t="s">
        <v>70</v>
      </c>
      <c r="G23" s="144"/>
    </row>
    <row r="24" ht="49.5" customHeight="1">
      <c r="A24" s="144"/>
      <c r="B24" s="171" t="s">
        <v>71</v>
      </c>
      <c r="C24" s="172">
        <v>44702.0</v>
      </c>
      <c r="D24" s="174">
        <v>600.0</v>
      </c>
      <c r="E24" s="175"/>
      <c r="F24" s="177"/>
      <c r="G24" s="144"/>
    </row>
    <row r="25" ht="49.5" customHeight="1">
      <c r="A25" s="144"/>
      <c r="B25" s="179" t="s">
        <v>72</v>
      </c>
      <c r="C25" s="120"/>
      <c r="D25" s="180">
        <v>-900.0</v>
      </c>
      <c r="E25" s="15"/>
      <c r="F25" s="99"/>
      <c r="G25" s="144"/>
    </row>
    <row r="26" ht="49.5" customHeight="1">
      <c r="A26" s="144"/>
      <c r="B26" s="182"/>
      <c r="C26" s="183"/>
      <c r="D26" s="183"/>
      <c r="E26" s="15"/>
      <c r="F26" s="99"/>
      <c r="G26" s="144"/>
    </row>
    <row r="27" ht="49.5" customHeight="1">
      <c r="A27" s="144"/>
      <c r="B27" s="182"/>
      <c r="C27" s="183"/>
      <c r="D27" s="183"/>
      <c r="E27" s="15"/>
      <c r="F27" s="99"/>
      <c r="G27" s="144"/>
    </row>
    <row r="28" ht="49.5" customHeight="1">
      <c r="A28" s="144"/>
      <c r="B28" s="182"/>
      <c r="C28" s="183"/>
      <c r="D28" s="183"/>
      <c r="E28" s="15"/>
      <c r="F28" s="99"/>
      <c r="G28" s="144"/>
    </row>
    <row r="29" ht="49.5" customHeight="1">
      <c r="A29" s="144"/>
      <c r="B29" s="182"/>
      <c r="C29" s="183"/>
      <c r="D29" s="183"/>
      <c r="E29" s="15"/>
      <c r="F29" s="99"/>
      <c r="G29" s="144"/>
    </row>
    <row r="30" ht="49.5" customHeight="1">
      <c r="A30" s="144"/>
      <c r="B30" s="182"/>
      <c r="C30" s="183"/>
      <c r="D30" s="183"/>
      <c r="E30" s="15"/>
      <c r="F30" s="99"/>
      <c r="G30" s="144"/>
    </row>
    <row r="31" ht="49.5" customHeight="1">
      <c r="A31" s="144"/>
      <c r="B31" s="182"/>
      <c r="C31" s="183"/>
      <c r="D31" s="183"/>
      <c r="E31" s="15"/>
      <c r="F31" s="99"/>
      <c r="G31" s="144"/>
    </row>
    <row r="32" ht="49.5" customHeight="1">
      <c r="A32" s="144"/>
      <c r="B32" s="182"/>
      <c r="C32" s="183"/>
      <c r="D32" s="183"/>
      <c r="E32" s="15"/>
      <c r="F32" s="99"/>
      <c r="G32" s="144"/>
    </row>
    <row r="33" ht="49.5" customHeight="1">
      <c r="A33" s="144"/>
      <c r="B33" s="182"/>
      <c r="C33" s="183"/>
      <c r="D33" s="183"/>
      <c r="E33" s="15"/>
      <c r="F33" s="99"/>
      <c r="G33" s="144"/>
    </row>
    <row r="34" ht="49.5" customHeight="1">
      <c r="A34" s="144"/>
      <c r="B34" s="182"/>
      <c r="C34" s="183"/>
      <c r="D34" s="183"/>
      <c r="E34" s="15"/>
      <c r="F34" s="99"/>
      <c r="G34" s="144"/>
    </row>
    <row r="35" ht="49.5" customHeight="1">
      <c r="A35" s="144"/>
      <c r="B35" s="182"/>
      <c r="C35" s="183"/>
      <c r="D35" s="183"/>
      <c r="E35" s="15"/>
      <c r="F35" s="99"/>
      <c r="G35" s="144"/>
    </row>
    <row r="36" ht="49.5" customHeight="1">
      <c r="A36" s="144"/>
      <c r="B36" s="182"/>
      <c r="C36" s="183"/>
      <c r="D36" s="183"/>
      <c r="E36" s="15"/>
      <c r="F36" s="99"/>
      <c r="G36" s="144"/>
    </row>
    <row r="37" ht="49.5" customHeight="1">
      <c r="A37" s="144"/>
      <c r="B37" s="182"/>
      <c r="C37" s="183"/>
      <c r="D37" s="183"/>
      <c r="E37" s="15"/>
      <c r="F37" s="99"/>
      <c r="G37" s="144"/>
    </row>
    <row r="38" ht="49.5" customHeight="1">
      <c r="A38" s="144"/>
      <c r="B38" s="182"/>
      <c r="C38" s="183"/>
      <c r="D38" s="183"/>
      <c r="E38" s="15"/>
      <c r="F38" s="99"/>
      <c r="G38" s="144"/>
    </row>
    <row r="39" ht="49.5" customHeight="1">
      <c r="A39" s="144"/>
      <c r="B39" s="182"/>
      <c r="C39" s="183"/>
      <c r="D39" s="183"/>
      <c r="E39" s="15"/>
      <c r="F39" s="99"/>
      <c r="G39" s="144"/>
    </row>
    <row r="40" ht="49.5" customHeight="1">
      <c r="A40" s="144"/>
      <c r="B40" s="182"/>
      <c r="C40" s="183"/>
      <c r="D40" s="183"/>
      <c r="E40" s="15"/>
      <c r="F40" s="99"/>
      <c r="G40" s="144"/>
    </row>
    <row r="41" ht="49.5" customHeight="1">
      <c r="A41" s="144"/>
      <c r="B41" s="182"/>
      <c r="C41" s="183"/>
      <c r="D41" s="183"/>
      <c r="E41" s="15"/>
      <c r="F41" s="99"/>
      <c r="G41" s="144"/>
    </row>
    <row r="42" ht="49.5" customHeight="1">
      <c r="A42" s="144"/>
      <c r="B42" s="182"/>
      <c r="C42" s="183"/>
      <c r="D42" s="183"/>
      <c r="E42" s="15"/>
      <c r="F42" s="99"/>
      <c r="G42" s="144"/>
    </row>
    <row r="43" ht="49.5" customHeight="1">
      <c r="A43" s="144"/>
      <c r="B43" s="182"/>
      <c r="C43" s="183"/>
      <c r="D43" s="183"/>
      <c r="E43" s="15"/>
      <c r="F43" s="99"/>
      <c r="G43" s="144"/>
    </row>
    <row r="44" ht="49.5" customHeight="1">
      <c r="A44" s="144"/>
      <c r="B44" s="182"/>
      <c r="C44" s="183"/>
      <c r="D44" s="183"/>
      <c r="E44" s="15"/>
      <c r="F44" s="99"/>
      <c r="G44" s="144"/>
    </row>
    <row r="45" ht="49.5" customHeight="1">
      <c r="A45" s="144"/>
      <c r="B45" s="182"/>
      <c r="C45" s="183"/>
      <c r="D45" s="183"/>
      <c r="E45" s="15"/>
      <c r="F45" s="99"/>
      <c r="G45" s="144"/>
    </row>
    <row r="46" ht="49.5" customHeight="1">
      <c r="A46" s="144"/>
      <c r="B46" s="182"/>
      <c r="C46" s="183"/>
      <c r="D46" s="183"/>
      <c r="E46" s="15"/>
      <c r="F46" s="99"/>
      <c r="G46" s="144"/>
    </row>
    <row r="47" ht="49.5" customHeight="1">
      <c r="A47" s="144"/>
      <c r="B47" s="182"/>
      <c r="C47" s="183"/>
      <c r="D47" s="183"/>
      <c r="E47" s="15"/>
      <c r="F47" s="99"/>
      <c r="G47" s="144"/>
    </row>
    <row r="48" ht="49.5" customHeight="1">
      <c r="A48" s="144"/>
      <c r="B48" s="182"/>
      <c r="C48" s="183"/>
      <c r="D48" s="183"/>
      <c r="E48" s="15"/>
      <c r="F48" s="99"/>
      <c r="G48" s="144"/>
    </row>
    <row r="49" ht="49.5" customHeight="1">
      <c r="A49" s="144"/>
      <c r="B49" s="182"/>
      <c r="C49" s="183"/>
      <c r="D49" s="183"/>
      <c r="E49" s="15"/>
      <c r="F49" s="99"/>
      <c r="G49" s="144"/>
    </row>
    <row r="50" ht="49.5" customHeight="1">
      <c r="A50" s="144"/>
      <c r="B50" s="182"/>
      <c r="C50" s="183"/>
      <c r="D50" s="183"/>
      <c r="E50" s="15"/>
      <c r="F50" s="99"/>
      <c r="G50" s="144"/>
    </row>
    <row r="51" ht="49.5" customHeight="1">
      <c r="A51" s="144"/>
      <c r="B51" s="182"/>
      <c r="C51" s="183"/>
      <c r="D51" s="183"/>
      <c r="E51" s="15"/>
      <c r="F51" s="99"/>
      <c r="G51" s="144"/>
    </row>
    <row r="52" ht="49.5" customHeight="1">
      <c r="A52" s="144"/>
      <c r="B52" s="182"/>
      <c r="C52" s="183"/>
      <c r="D52" s="183"/>
      <c r="E52" s="15"/>
      <c r="F52" s="99"/>
      <c r="G52" s="144"/>
    </row>
    <row r="53" ht="49.5" customHeight="1">
      <c r="A53" s="144"/>
      <c r="B53" s="182"/>
      <c r="C53" s="183"/>
      <c r="D53" s="183"/>
      <c r="E53" s="15"/>
      <c r="F53" s="99"/>
      <c r="G53" s="144"/>
    </row>
    <row r="54" ht="49.5" customHeight="1">
      <c r="A54" s="144"/>
      <c r="B54" s="182"/>
      <c r="C54" s="183"/>
      <c r="D54" s="183"/>
      <c r="E54" s="15"/>
      <c r="F54" s="99"/>
      <c r="G54" s="144"/>
    </row>
    <row r="55" ht="49.5" customHeight="1">
      <c r="A55" s="144"/>
      <c r="B55" s="182"/>
      <c r="C55" s="183"/>
      <c r="D55" s="183"/>
      <c r="E55" s="15"/>
      <c r="F55" s="99"/>
      <c r="G55" s="144"/>
    </row>
    <row r="56" ht="49.5" customHeight="1">
      <c r="A56" s="144"/>
      <c r="B56" s="182"/>
      <c r="C56" s="183"/>
      <c r="D56" s="183"/>
      <c r="E56" s="15"/>
      <c r="F56" s="99"/>
      <c r="G56" s="144"/>
    </row>
    <row r="57" ht="49.5" customHeight="1">
      <c r="A57" s="144"/>
      <c r="B57" s="182"/>
      <c r="C57" s="183"/>
      <c r="D57" s="183"/>
      <c r="E57" s="15"/>
      <c r="F57" s="99"/>
      <c r="G57" s="144"/>
    </row>
    <row r="58" ht="49.5" customHeight="1">
      <c r="A58" s="144"/>
      <c r="B58" s="182"/>
      <c r="C58" s="183"/>
      <c r="D58" s="183"/>
      <c r="E58" s="15"/>
      <c r="F58" s="99"/>
      <c r="G58" s="144"/>
    </row>
    <row r="59" ht="49.5" customHeight="1">
      <c r="A59" s="144"/>
      <c r="B59" s="182"/>
      <c r="C59" s="183"/>
      <c r="D59" s="183"/>
      <c r="E59" s="15"/>
      <c r="F59" s="99"/>
      <c r="G59" s="144"/>
    </row>
    <row r="60" ht="49.5" customHeight="1">
      <c r="A60" s="144"/>
      <c r="B60" s="182"/>
      <c r="C60" s="183"/>
      <c r="D60" s="183"/>
      <c r="E60" s="15"/>
      <c r="F60" s="99"/>
      <c r="G60" s="144"/>
    </row>
    <row r="61" ht="49.5" customHeight="1">
      <c r="A61" s="144"/>
      <c r="B61" s="182"/>
      <c r="C61" s="183"/>
      <c r="D61" s="183"/>
      <c r="E61" s="15"/>
      <c r="F61" s="99"/>
      <c r="G61" s="144"/>
    </row>
    <row r="62" ht="49.5" customHeight="1">
      <c r="A62" s="144"/>
      <c r="B62" s="182"/>
      <c r="C62" s="183"/>
      <c r="D62" s="183"/>
      <c r="E62" s="15"/>
      <c r="F62" s="99"/>
      <c r="G62" s="144"/>
    </row>
    <row r="63" ht="49.5" customHeight="1">
      <c r="A63" s="144"/>
      <c r="B63" s="182"/>
      <c r="C63" s="183"/>
      <c r="D63" s="183"/>
      <c r="E63" s="15"/>
      <c r="F63" s="99"/>
      <c r="G63" s="144"/>
    </row>
    <row r="64" ht="49.5" customHeight="1">
      <c r="A64" s="144"/>
      <c r="B64" s="182"/>
      <c r="C64" s="183"/>
      <c r="D64" s="183"/>
      <c r="E64" s="15"/>
      <c r="F64" s="99"/>
      <c r="G64" s="144"/>
    </row>
    <row r="65" ht="49.5" customHeight="1">
      <c r="A65" s="144"/>
      <c r="B65" s="182"/>
      <c r="C65" s="183"/>
      <c r="D65" s="183"/>
      <c r="E65" s="15"/>
      <c r="F65" s="99"/>
      <c r="G65" s="144"/>
    </row>
    <row r="66" ht="49.5" customHeight="1">
      <c r="A66" s="144"/>
      <c r="B66" s="182"/>
      <c r="C66" s="183"/>
      <c r="D66" s="183"/>
      <c r="E66" s="15"/>
      <c r="F66" s="99"/>
      <c r="G66" s="144"/>
    </row>
    <row r="67" ht="49.5" customHeight="1">
      <c r="A67" s="144"/>
      <c r="B67" s="182"/>
      <c r="C67" s="183"/>
      <c r="D67" s="183"/>
      <c r="E67" s="15"/>
      <c r="F67" s="99"/>
      <c r="G67" s="144"/>
    </row>
    <row r="68" ht="49.5" customHeight="1">
      <c r="A68" s="144"/>
      <c r="B68" s="182"/>
      <c r="C68" s="183"/>
      <c r="D68" s="183"/>
      <c r="E68" s="15"/>
      <c r="F68" s="99"/>
      <c r="G68" s="144"/>
    </row>
    <row r="69" ht="49.5" customHeight="1">
      <c r="A69" s="144"/>
      <c r="B69" s="182"/>
      <c r="C69" s="183"/>
      <c r="D69" s="183"/>
      <c r="E69" s="15"/>
      <c r="F69" s="99"/>
      <c r="G69" s="144"/>
    </row>
    <row r="70" ht="49.5" customHeight="1">
      <c r="A70" s="144"/>
      <c r="B70" s="182"/>
      <c r="C70" s="183"/>
      <c r="D70" s="183"/>
      <c r="E70" s="15"/>
      <c r="F70" s="99"/>
      <c r="G70" s="144"/>
    </row>
    <row r="71" ht="49.5" customHeight="1">
      <c r="A71" s="144"/>
      <c r="B71" s="182"/>
      <c r="C71" s="183"/>
      <c r="D71" s="183"/>
      <c r="E71" s="15"/>
      <c r="F71" s="99"/>
      <c r="G71" s="144"/>
    </row>
    <row r="72" ht="49.5" customHeight="1">
      <c r="A72" s="144"/>
      <c r="B72" s="182"/>
      <c r="C72" s="183"/>
      <c r="D72" s="183"/>
      <c r="E72" s="15"/>
      <c r="F72" s="99"/>
      <c r="G72" s="144"/>
    </row>
    <row r="73" ht="49.5" customHeight="1">
      <c r="A73" s="144"/>
      <c r="B73" s="182"/>
      <c r="C73" s="183"/>
      <c r="D73" s="183"/>
      <c r="E73" s="15"/>
      <c r="F73" s="99"/>
      <c r="G73" s="144"/>
    </row>
    <row r="74" ht="49.5" customHeight="1">
      <c r="A74" s="144"/>
      <c r="B74" s="182"/>
      <c r="C74" s="183"/>
      <c r="D74" s="183"/>
      <c r="E74" s="15"/>
      <c r="F74" s="99"/>
      <c r="G74" s="144"/>
    </row>
    <row r="75" ht="49.5" customHeight="1">
      <c r="A75" s="144"/>
      <c r="B75" s="182"/>
      <c r="C75" s="183"/>
      <c r="D75" s="183"/>
      <c r="E75" s="15"/>
      <c r="F75" s="99"/>
      <c r="G75" s="144"/>
    </row>
    <row r="76" ht="49.5" customHeight="1">
      <c r="A76" s="144"/>
      <c r="B76" s="182"/>
      <c r="C76" s="183"/>
      <c r="D76" s="183"/>
      <c r="E76" s="15"/>
      <c r="F76" s="99"/>
      <c r="G76" s="144"/>
    </row>
    <row r="77" ht="49.5" customHeight="1">
      <c r="A77" s="144"/>
      <c r="B77" s="182"/>
      <c r="C77" s="183"/>
      <c r="D77" s="183"/>
      <c r="E77" s="15"/>
      <c r="F77" s="99"/>
      <c r="G77" s="144"/>
    </row>
    <row r="78" ht="49.5" customHeight="1">
      <c r="A78" s="144"/>
      <c r="B78" s="182"/>
      <c r="C78" s="183"/>
      <c r="D78" s="183"/>
      <c r="E78" s="15"/>
      <c r="F78" s="99"/>
      <c r="G78" s="144"/>
    </row>
    <row r="79" ht="49.5" customHeight="1">
      <c r="A79" s="144"/>
      <c r="B79" s="182"/>
      <c r="C79" s="183"/>
      <c r="D79" s="183"/>
      <c r="E79" s="15"/>
      <c r="F79" s="99"/>
      <c r="G79" s="144"/>
    </row>
    <row r="80" ht="49.5" customHeight="1">
      <c r="A80" s="144"/>
      <c r="B80" s="182"/>
      <c r="C80" s="183"/>
      <c r="D80" s="183"/>
      <c r="E80" s="15"/>
      <c r="F80" s="99"/>
      <c r="G80" s="144"/>
    </row>
    <row r="81" ht="49.5" customHeight="1">
      <c r="A81" s="144"/>
      <c r="B81" s="182"/>
      <c r="C81" s="183"/>
      <c r="D81" s="183"/>
      <c r="E81" s="15"/>
      <c r="F81" s="99"/>
      <c r="G81" s="144"/>
    </row>
    <row r="82" ht="49.5" customHeight="1">
      <c r="A82" s="144"/>
      <c r="B82" s="182"/>
      <c r="C82" s="183"/>
      <c r="D82" s="183"/>
      <c r="E82" s="15"/>
      <c r="F82" s="99"/>
      <c r="G82" s="144"/>
    </row>
    <row r="83" ht="49.5" customHeight="1">
      <c r="A83" s="144"/>
      <c r="B83" s="182"/>
      <c r="C83" s="183"/>
      <c r="D83" s="183"/>
      <c r="E83" s="15"/>
      <c r="F83" s="99"/>
      <c r="G83" s="144"/>
    </row>
    <row r="84" ht="49.5" customHeight="1">
      <c r="A84" s="144"/>
      <c r="B84" s="182"/>
      <c r="C84" s="183"/>
      <c r="D84" s="183"/>
      <c r="E84" s="15"/>
      <c r="F84" s="99"/>
      <c r="G84" s="144"/>
    </row>
    <row r="85" ht="49.5" customHeight="1">
      <c r="A85" s="144"/>
      <c r="B85" s="227"/>
      <c r="C85" s="228"/>
      <c r="D85" s="228"/>
      <c r="E85" s="230"/>
      <c r="F85" s="104"/>
      <c r="G85" s="144"/>
    </row>
    <row r="86" ht="49.5" customHeight="1">
      <c r="A86" s="144"/>
      <c r="B86" s="183"/>
      <c r="C86" s="183"/>
      <c r="D86" s="183"/>
      <c r="E86" s="15"/>
      <c r="G86" s="144"/>
    </row>
  </sheetData>
  <mergeCells count="67">
    <mergeCell ref="E69:F69"/>
    <mergeCell ref="E70:F70"/>
    <mergeCell ref="E71:F71"/>
    <mergeCell ref="E72:F72"/>
    <mergeCell ref="E73:F73"/>
    <mergeCell ref="E74:F74"/>
    <mergeCell ref="E75:F75"/>
    <mergeCell ref="E83:F83"/>
    <mergeCell ref="E84:F84"/>
    <mergeCell ref="E85:F85"/>
    <mergeCell ref="E86:F86"/>
    <mergeCell ref="E76:F76"/>
    <mergeCell ref="E77:F77"/>
    <mergeCell ref="E78:F78"/>
    <mergeCell ref="E79:F79"/>
    <mergeCell ref="E80:F80"/>
    <mergeCell ref="E81:F81"/>
    <mergeCell ref="E82:F82"/>
    <mergeCell ref="A1:G2"/>
    <mergeCell ref="D13:D14"/>
    <mergeCell ref="E13:E1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</mergeCells>
  <conditionalFormatting sqref="B23 C23 D23:F23">
    <cfRule type="containsText" dxfId="2" priority="1" operator="containsText" text="N/A">
      <formula>NOT(ISERROR(SEARCH(("N/A"),(B23))))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5"/>
  </cols>
  <sheetData>
    <row r="1">
      <c r="A1" s="139"/>
      <c r="B1" s="139"/>
      <c r="C1" s="139"/>
      <c r="D1" s="139"/>
      <c r="E1" s="139"/>
    </row>
    <row r="2" ht="25.5" customHeight="1">
      <c r="A2" s="140" t="s">
        <v>57</v>
      </c>
    </row>
    <row r="3" ht="25.5" customHeight="1"/>
    <row r="4">
      <c r="B4" s="87"/>
      <c r="C4" s="87"/>
      <c r="D4" s="87"/>
    </row>
    <row r="5" ht="47.25" customHeight="1">
      <c r="B5" s="143" t="s">
        <v>59</v>
      </c>
    </row>
    <row r="6">
      <c r="B6" s="145"/>
      <c r="C6" s="145"/>
      <c r="D6" s="145"/>
    </row>
    <row r="7">
      <c r="B7" s="145" t="s">
        <v>61</v>
      </c>
    </row>
    <row r="8">
      <c r="B8" s="151">
        <f>Budget!F39</f>
        <v>2100</v>
      </c>
      <c r="C8" s="92"/>
      <c r="D8" s="95"/>
    </row>
    <row r="9">
      <c r="B9" s="145" t="s">
        <v>63</v>
      </c>
    </row>
    <row r="10">
      <c r="B10" s="151">
        <v>250.0</v>
      </c>
      <c r="C10" s="92"/>
      <c r="D10" s="95"/>
    </row>
    <row r="11">
      <c r="B11" s="154" t="s">
        <v>64</v>
      </c>
      <c r="C11" s="155"/>
      <c r="D11" s="155"/>
    </row>
    <row r="12">
      <c r="B12" s="158">
        <f>(B10/B8)</f>
        <v>0.119047619</v>
      </c>
    </row>
    <row r="13">
      <c r="B13" s="159"/>
      <c r="C13" s="159"/>
      <c r="D13" s="159"/>
    </row>
    <row r="14">
      <c r="B14" s="154" t="s">
        <v>66</v>
      </c>
      <c r="C14" s="155"/>
      <c r="D14" s="155"/>
    </row>
    <row r="15">
      <c r="B15" s="160">
        <f>B10</f>
        <v>250</v>
      </c>
    </row>
    <row r="16">
      <c r="C16" s="88"/>
    </row>
    <row r="17" ht="27.0" customHeight="1">
      <c r="A17" s="162" t="str">
        <f>if(B16=TRUE,"!", " " )</f>
        <v> </v>
      </c>
      <c r="B17" s="164"/>
      <c r="E17" s="166" t="str">
        <f>if(B16=TRUE,"!", " " )</f>
        <v> </v>
      </c>
    </row>
  </sheetData>
  <mergeCells count="12">
    <mergeCell ref="B12:D12"/>
    <mergeCell ref="B14:D14"/>
    <mergeCell ref="B15:D15"/>
    <mergeCell ref="C16:D16"/>
    <mergeCell ref="B17:D17"/>
    <mergeCell ref="A2:E3"/>
    <mergeCell ref="B5:D5"/>
    <mergeCell ref="B7:D7"/>
    <mergeCell ref="B8:D8"/>
    <mergeCell ref="B9:D9"/>
    <mergeCell ref="B10:D10"/>
    <mergeCell ref="B11:D11"/>
  </mergeCells>
  <conditionalFormatting sqref="C5:C7 B6:B7 B9:C9 B11:C11 B14:C14">
    <cfRule type="expression" dxfId="4" priority="1">
      <formula>#REF!=TRUE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5"/>
  </cols>
  <sheetData>
    <row r="1">
      <c r="A1" s="139"/>
      <c r="B1" s="139"/>
      <c r="C1" s="139"/>
      <c r="D1" s="139"/>
      <c r="E1" s="139"/>
    </row>
    <row r="2">
      <c r="A2" s="184" t="s">
        <v>74</v>
      </c>
    </row>
    <row r="4">
      <c r="B4" s="87"/>
      <c r="C4" s="87"/>
      <c r="D4" s="87"/>
    </row>
    <row r="5">
      <c r="B5" s="185" t="s">
        <v>75</v>
      </c>
    </row>
    <row r="6">
      <c r="B6" s="186" t="s">
        <v>76</v>
      </c>
      <c r="C6" s="92"/>
      <c r="D6" s="95"/>
    </row>
    <row r="7">
      <c r="B7" s="185" t="s">
        <v>77</v>
      </c>
    </row>
    <row r="8">
      <c r="B8" s="186">
        <v>300.0</v>
      </c>
      <c r="C8" s="92"/>
      <c r="D8" s="95"/>
    </row>
    <row r="9">
      <c r="B9" s="185" t="s">
        <v>79</v>
      </c>
    </row>
    <row r="10">
      <c r="B10" s="186">
        <v>3.0</v>
      </c>
      <c r="C10" s="92"/>
      <c r="D10" s="95"/>
    </row>
    <row r="11">
      <c r="B11" s="159"/>
      <c r="C11" s="159"/>
      <c r="D11" s="159"/>
    </row>
    <row r="12">
      <c r="B12" s="185" t="s">
        <v>66</v>
      </c>
    </row>
    <row r="13">
      <c r="B13" s="193">
        <f>B8/B10</f>
        <v>100</v>
      </c>
      <c r="C13" s="92"/>
      <c r="D13" s="95"/>
    </row>
    <row r="14">
      <c r="B14" s="187" t="b">
        <v>1</v>
      </c>
      <c r="C14" s="88" t="s">
        <v>88</v>
      </c>
    </row>
    <row r="15" ht="27.0" customHeight="1">
      <c r="A15" s="162" t="str">
        <f>if(B14=TRUE,"!", " " )</f>
        <v>!</v>
      </c>
      <c r="B15" s="164" t="str">
        <f>if(B14=TRUE,"Your budget has been automatically adjusted to add this expense! please go check your budget!", " " )</f>
        <v>Your budget has been automatically adjusted to add this expense! please go check your budget!</v>
      </c>
      <c r="E15" s="166" t="str">
        <f>if(B14=TRUE,"!", " " )</f>
        <v>!</v>
      </c>
    </row>
  </sheetData>
  <mergeCells count="11">
    <mergeCell ref="B12:D12"/>
    <mergeCell ref="B13:D13"/>
    <mergeCell ref="C14:D14"/>
    <mergeCell ref="B15:D15"/>
    <mergeCell ref="A2:E3"/>
    <mergeCell ref="B5:D5"/>
    <mergeCell ref="B6:D6"/>
    <mergeCell ref="B7:D7"/>
    <mergeCell ref="B8:D8"/>
    <mergeCell ref="B9:D9"/>
    <mergeCell ref="B10:D10"/>
  </mergeCells>
  <conditionalFormatting sqref="B5:C5 B7:C7 B9:C9 B12:C12">
    <cfRule type="expression" dxfId="4" priority="1">
      <formula>#REF!=TRUE</formula>
    </cfRule>
  </conditionalFormatting>
  <dataValidations>
    <dataValidation type="list" allowBlank="1" sqref="B10">
      <formula1>'Back Door'!$E$4:$E$27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8" max="8" width="20.25"/>
  </cols>
  <sheetData>
    <row r="2">
      <c r="A2" s="187" t="s">
        <v>78</v>
      </c>
      <c r="B2" s="187"/>
      <c r="C2" s="189" t="s">
        <v>80</v>
      </c>
      <c r="D2" s="187" t="s">
        <v>81</v>
      </c>
      <c r="E2" s="187" t="s">
        <v>82</v>
      </c>
      <c r="F2" s="187" t="s">
        <v>83</v>
      </c>
      <c r="G2" s="187" t="s">
        <v>84</v>
      </c>
      <c r="I2" s="190"/>
      <c r="J2" s="190"/>
      <c r="M2" s="82" t="str">
        <f>Budget!C51</f>
        <v>Rent</v>
      </c>
      <c r="N2" s="192">
        <f>Budget!E51</f>
        <v>1000</v>
      </c>
    </row>
    <row r="3">
      <c r="A3" s="187" t="s">
        <v>86</v>
      </c>
      <c r="B3" s="187"/>
      <c r="C3" s="194">
        <v>5.0</v>
      </c>
      <c r="D3" s="82">
        <f>Budget!F39*(Budget!F41/100)</f>
        <v>315</v>
      </c>
      <c r="E3" s="187" t="s">
        <v>89</v>
      </c>
      <c r="F3" s="82">
        <f>SUM(SUMIF(Budget!F51:F58,"&lt;15",Budget!E51:E58),SUMIF(Budget!F62:F69,"&lt;15",Budget!E62:E69),SUMIF(Budget!F73:F80,"&lt;15",Budget!E73:E80), SUMIF(Budget!L51:L58,"&lt;15",Budget!K51:K58),SUMIF(Budget!L62:L69,"&lt;15",Budget!K62:K69),SUMIF(Budget!L73:L83,"&lt;15",Budget!K73:K83))+F5</f>
        <v>1610</v>
      </c>
      <c r="G3" s="82">
        <f>SUM(SUMIF(Budget!F51:F58,"&gt;15",Budget!E51:E58),SUMIF(Budget!F62:F69,"&gt;15",Budget!E62:E69),SUMIF(Budget!F73:F80,"&gt;15",Budget!E73:E80), SUMIF(Budget!L51:L58,"&gt;15",Budget!K51:K58),SUMIF(Budget!L62:L69,"&gt;15",Budget!K62:K69),SUMIF(Budget!L73:L83,"&gt;15",Budget!K73:K83))+F5</f>
        <v>940</v>
      </c>
      <c r="I3" s="190" t="s">
        <v>91</v>
      </c>
      <c r="J3" s="206">
        <f>TODAY()</f>
        <v>46251</v>
      </c>
      <c r="K3" s="82">
        <f>DAY(TODAY())</f>
        <v>17</v>
      </c>
      <c r="M3" s="82" t="str">
        <f>Budget!C52</f>
        <v>Electric</v>
      </c>
      <c r="N3" s="192">
        <f>Budget!E52</f>
        <v>100</v>
      </c>
    </row>
    <row r="4">
      <c r="A4" s="187" t="s">
        <v>93</v>
      </c>
      <c r="C4" s="194">
        <v>10.0</v>
      </c>
      <c r="E4" s="187">
        <v>1.0</v>
      </c>
      <c r="I4" s="207" t="s">
        <v>94</v>
      </c>
      <c r="J4" s="208">
        <f>EOMONTH(J3, 0)</f>
        <v>46265</v>
      </c>
      <c r="K4" s="82">
        <f>DAY(EOMONTH(J3, 0))</f>
        <v>31</v>
      </c>
      <c r="M4" s="82" t="str">
        <f>Budget!C53</f>
        <v>Phone</v>
      </c>
      <c r="N4" s="192">
        <f>Budget!E53</f>
        <v>80</v>
      </c>
    </row>
    <row r="5">
      <c r="A5" s="187" t="s">
        <v>96</v>
      </c>
      <c r="B5" s="187"/>
      <c r="C5" s="194">
        <v>15.0</v>
      </c>
      <c r="E5" s="187">
        <v>2.0</v>
      </c>
      <c r="F5" s="187">
        <f>SUM(SUMIF(Budget!F51:F58,"",Budget!E51:E58),SUMIF(Budget!F62:F69,"",Budget!E62:E69),SUMIF(Budget!F73:F80,"",Budget!E73:E80), SUMIF(Budget!L51:L58,"",Budget!K51:K58),SUMIF(Budget!L62:L69,"&lt;",Budget!K62:K69),SUMIF(Budget!L73:L83,"",Budget!K73:K83))/2</f>
        <v>540</v>
      </c>
      <c r="I5" s="190" t="s">
        <v>97</v>
      </c>
      <c r="J5" s="214">
        <f>DATEDIF(J3,J4,"d")</f>
        <v>14</v>
      </c>
      <c r="M5" s="82" t="str">
        <f>Budget!C54</f>
        <v/>
      </c>
      <c r="N5" s="192" t="str">
        <f>Budget!E54</f>
        <v/>
      </c>
    </row>
    <row r="6">
      <c r="A6" s="187" t="s">
        <v>99</v>
      </c>
      <c r="C6" s="194">
        <v>20.0</v>
      </c>
      <c r="E6" s="187">
        <v>3.0</v>
      </c>
      <c r="I6" s="190" t="s">
        <v>101</v>
      </c>
      <c r="J6" s="214" t="str">
        <f>TEXT(NOW(),"hh:mm")</f>
        <v>08:47</v>
      </c>
      <c r="M6" s="82" t="str">
        <f>Budget!C55</f>
        <v/>
      </c>
      <c r="N6" s="192" t="str">
        <f>Budget!E55</f>
        <v/>
      </c>
    </row>
    <row r="7">
      <c r="A7" s="187" t="s">
        <v>102</v>
      </c>
      <c r="B7" s="187"/>
      <c r="C7" s="194">
        <v>25.0</v>
      </c>
      <c r="E7" s="187">
        <v>4.0</v>
      </c>
      <c r="I7" s="190" t="s">
        <v>103</v>
      </c>
      <c r="J7" s="214">
        <f>HOUR(J6)</f>
        <v>8</v>
      </c>
      <c r="M7" s="82" t="str">
        <f>Budget!C56</f>
        <v/>
      </c>
      <c r="N7" s="192" t="str">
        <f>Budget!E56</f>
        <v/>
      </c>
    </row>
    <row r="8">
      <c r="C8" s="194">
        <v>30.0</v>
      </c>
      <c r="E8" s="187">
        <v>5.0</v>
      </c>
      <c r="I8" s="190" t="s">
        <v>105</v>
      </c>
      <c r="J8" s="224" t="str">
        <f>ifs(J7&lt;12, "☕ Good morning! ",J7&lt;18, "☀️ Good Day! ",J7&lt;24, "🌙 Good evening! ")</f>
        <v>☕ Good morning! </v>
      </c>
      <c r="M8" s="82" t="str">
        <f>Budget!C57</f>
        <v/>
      </c>
      <c r="N8" s="192" t="str">
        <f>Budget!E57</f>
        <v/>
      </c>
    </row>
    <row r="9">
      <c r="A9" s="82" t="str">
        <f>Budget!D50</f>
        <v>Change My Name 1</v>
      </c>
      <c r="B9" s="192">
        <f>SUM(Budget!E51:E58)</f>
        <v>1180</v>
      </c>
      <c r="C9" s="194">
        <v>35.0</v>
      </c>
      <c r="E9" s="187">
        <v>6.0</v>
      </c>
      <c r="M9" s="82" t="str">
        <f>Budget!C58</f>
        <v/>
      </c>
      <c r="N9" s="192" t="str">
        <f>Budget!E58</f>
        <v/>
      </c>
    </row>
    <row r="10">
      <c r="A10" s="82" t="str">
        <f>Budget!J50</f>
        <v>Change My Name 4</v>
      </c>
      <c r="B10" s="192">
        <f>SUM(Budget!K51:K58)</f>
        <v>250</v>
      </c>
      <c r="C10" s="194">
        <v>40.0</v>
      </c>
      <c r="E10" s="187">
        <v>7.0</v>
      </c>
      <c r="M10" s="82" t="str">
        <f>Budget!C62</f>
        <v>groceries</v>
      </c>
      <c r="N10" s="192">
        <f>Budget!E62</f>
        <v>400</v>
      </c>
    </row>
    <row r="11">
      <c r="A11" s="82" t="str">
        <f>Budget!D61</f>
        <v>Change My Name 2</v>
      </c>
      <c r="B11" s="192">
        <f>SUM(Budget!E62:E69)</f>
        <v>650</v>
      </c>
      <c r="C11" s="194">
        <v>45.0</v>
      </c>
      <c r="E11" s="187">
        <v>8.0</v>
      </c>
      <c r="I11" s="187" t="s">
        <v>109</v>
      </c>
      <c r="M11" s="82" t="str">
        <f>Budget!C63</f>
        <v>lunch</v>
      </c>
      <c r="N11" s="192">
        <f>Budget!E63</f>
        <v>250</v>
      </c>
    </row>
    <row r="12">
      <c r="A12" s="82" t="str">
        <f>Budget!D72</f>
        <v>Change My Name 3</v>
      </c>
      <c r="B12" s="192">
        <f>SUM(Budget!E73:E80)</f>
        <v>70</v>
      </c>
      <c r="C12" s="194">
        <v>50.0</v>
      </c>
      <c r="E12" s="187">
        <v>9.0</v>
      </c>
      <c r="H12" s="242" t="str">
        <f>Budget!D50</f>
        <v>Change My Name 1</v>
      </c>
      <c r="I12" s="82">
        <f>SUM(COUNTIFs(Budget!F51:F58,"&gt;"&amp;K3,Budget!F51:F58,"&lt;"&amp;K4))</f>
        <v>0</v>
      </c>
      <c r="M12" s="82" t="str">
        <f>Budget!C64</f>
        <v/>
      </c>
      <c r="N12" s="192" t="str">
        <f>Budget!E64</f>
        <v/>
      </c>
    </row>
    <row r="13">
      <c r="A13" s="82" t="str">
        <f>Budget!J61</f>
        <v>Change My Name 5</v>
      </c>
      <c r="B13" s="192">
        <f>SUM(Budget!K62:K69)</f>
        <v>450</v>
      </c>
      <c r="C13" s="194">
        <v>55.0</v>
      </c>
      <c r="E13" s="187">
        <v>10.0</v>
      </c>
      <c r="H13" s="247" t="str">
        <f>Budget!J50</f>
        <v>Change My Name 4</v>
      </c>
      <c r="I13" s="244">
        <f>COUNTIFs(Budget!L51:L58,"&gt;"&amp;K3,Budget!L51:L58,"&lt;"&amp;K4)</f>
        <v>0</v>
      </c>
      <c r="K13" s="249"/>
      <c r="M13" s="82" t="str">
        <f>Budget!C65</f>
        <v/>
      </c>
      <c r="N13" s="192" t="str">
        <f>Budget!E65</f>
        <v/>
      </c>
    </row>
    <row r="14">
      <c r="A14" s="82" t="str">
        <f>Budget!J72</f>
        <v>Change My Name 6</v>
      </c>
      <c r="B14" s="192">
        <f>SUM(Budget!K73:K77)</f>
        <v>100</v>
      </c>
      <c r="C14" s="194">
        <v>60.0</v>
      </c>
      <c r="E14" s="187">
        <v>11.0</v>
      </c>
      <c r="H14" s="247" t="str">
        <f>Budget!D61</f>
        <v>Change My Name 2</v>
      </c>
      <c r="I14" s="257">
        <f>COUNTIFs(Budget!F62:F69,"&gt;"&amp;K3,Budget!F62:F69,"&lt;"&amp;K4)</f>
        <v>0</v>
      </c>
      <c r="M14" s="82" t="str">
        <f>Budget!C66</f>
        <v/>
      </c>
      <c r="N14" s="192" t="str">
        <f>Budget!E66</f>
        <v/>
      </c>
    </row>
    <row r="15">
      <c r="C15" s="194">
        <v>65.0</v>
      </c>
      <c r="E15" s="187">
        <v>12.0</v>
      </c>
      <c r="H15" s="242" t="str">
        <f>Budget!D72</f>
        <v>Change My Name 3</v>
      </c>
      <c r="I15" s="257">
        <f>COUNTIFs(Budget!F73:F80,"&gt;"&amp;K3,Budget!F73:F80,"&lt;"&amp;K4)</f>
        <v>0</v>
      </c>
      <c r="M15" s="82" t="str">
        <f>Budget!C67</f>
        <v/>
      </c>
      <c r="N15" s="192" t="str">
        <f>Budget!E67</f>
        <v/>
      </c>
    </row>
    <row r="16">
      <c r="C16" s="194">
        <v>70.0</v>
      </c>
      <c r="E16" s="187">
        <v>13.0</v>
      </c>
      <c r="H16" s="242" t="str">
        <f>Budget!J61</f>
        <v>Change My Name 5</v>
      </c>
      <c r="I16" s="257">
        <f>COUNTIFs(Budget!L62:L69,"&gt;"&amp;K3,Budget!L62:L69,"&lt;"&amp;K4)</f>
        <v>0</v>
      </c>
      <c r="M16" s="82" t="str">
        <f>Budget!C68</f>
        <v/>
      </c>
      <c r="N16" s="192" t="str">
        <f>Budget!E68</f>
        <v/>
      </c>
    </row>
    <row r="17">
      <c r="A17" s="187" t="s">
        <v>119</v>
      </c>
      <c r="C17" s="194">
        <v>75.0</v>
      </c>
      <c r="E17" s="187">
        <v>14.0</v>
      </c>
      <c r="H17" s="242" t="str">
        <f>Budget!J72</f>
        <v>Change My Name 6</v>
      </c>
      <c r="I17" s="257">
        <f>COUNTIFs(Budget!L73:L75,"&gt;"&amp;K3,Budget!L73:L75,"&lt;"&amp;K4)</f>
        <v>0</v>
      </c>
      <c r="M17" s="82" t="str">
        <f>Budget!C69</f>
        <v/>
      </c>
      <c r="N17" s="192" t="str">
        <f>Budget!E69</f>
        <v/>
      </c>
    </row>
    <row r="18">
      <c r="A18" s="187" t="s">
        <v>87</v>
      </c>
      <c r="C18" s="194">
        <v>80.0</v>
      </c>
      <c r="E18" s="187">
        <v>15.0</v>
      </c>
      <c r="H18" s="187" t="s">
        <v>120</v>
      </c>
      <c r="I18" s="82">
        <f>SUM(I12:I17)</f>
        <v>0</v>
      </c>
      <c r="M18" s="82" t="str">
        <f>Budget!C73</f>
        <v>Netflix</v>
      </c>
      <c r="N18" s="192">
        <f>Budget!E73</f>
        <v>20</v>
      </c>
    </row>
    <row r="19">
      <c r="A19" s="187" t="s">
        <v>121</v>
      </c>
      <c r="C19" s="194">
        <v>85.0</v>
      </c>
      <c r="E19" s="187">
        <v>16.0</v>
      </c>
      <c r="M19" s="82" t="str">
        <f>Budget!C74</f>
        <v>Adobe</v>
      </c>
      <c r="N19" s="192">
        <f>Budget!E74</f>
        <v>30</v>
      </c>
    </row>
    <row r="20">
      <c r="C20" s="194">
        <v>90.0</v>
      </c>
      <c r="E20" s="187">
        <v>17.0</v>
      </c>
      <c r="M20" s="82" t="str">
        <f>Budget!C75</f>
        <v>Sporitfy</v>
      </c>
      <c r="N20" s="192">
        <f>Budget!E75</f>
        <v>10</v>
      </c>
    </row>
    <row r="21">
      <c r="C21" s="194">
        <v>95.0</v>
      </c>
      <c r="E21" s="187">
        <v>18.0</v>
      </c>
      <c r="M21" s="82" t="str">
        <f>Budget!C76</f>
        <v>Youtube Premium</v>
      </c>
      <c r="N21" s="192">
        <f>Budget!E76</f>
        <v>10</v>
      </c>
    </row>
    <row r="22">
      <c r="C22" s="273">
        <v>0.0</v>
      </c>
      <c r="E22" s="187">
        <v>19.0</v>
      </c>
      <c r="M22" s="82" t="str">
        <f>Budget!C77</f>
        <v/>
      </c>
      <c r="N22" s="192" t="str">
        <f>Budget!E77</f>
        <v/>
      </c>
    </row>
    <row r="23">
      <c r="E23" s="187">
        <v>20.0</v>
      </c>
      <c r="M23" s="82" t="str">
        <f>Budget!C78</f>
        <v/>
      </c>
      <c r="N23" s="192" t="str">
        <f>Budget!E78</f>
        <v/>
      </c>
    </row>
    <row r="24">
      <c r="A24" s="187" t="s">
        <v>123</v>
      </c>
      <c r="E24" s="187">
        <v>21.0</v>
      </c>
      <c r="M24" s="82" t="str">
        <f>Budget!C79</f>
        <v/>
      </c>
      <c r="N24" s="192" t="str">
        <f>Budget!E79</f>
        <v/>
      </c>
    </row>
    <row r="25">
      <c r="E25" s="187">
        <v>22.0</v>
      </c>
      <c r="M25" s="82" t="str">
        <f>Budget!C80</f>
        <v/>
      </c>
      <c r="N25" s="192" t="str">
        <f>Budget!E80</f>
        <v/>
      </c>
    </row>
    <row r="26">
      <c r="E26" s="187">
        <v>23.0</v>
      </c>
      <c r="M26" s="82" t="str">
        <f>Budget!I51</f>
        <v>rental</v>
      </c>
      <c r="N26" s="192">
        <f>Budget!K51</f>
        <v>50</v>
      </c>
    </row>
    <row r="27">
      <c r="E27" s="187">
        <v>24.0</v>
      </c>
      <c r="M27" s="82" t="str">
        <f>Budget!I52</f>
        <v>cats</v>
      </c>
      <c r="N27" s="192">
        <f>Budget!K52</f>
        <v>200</v>
      </c>
    </row>
    <row r="28">
      <c r="E28" s="187">
        <v>25.0</v>
      </c>
      <c r="M28" s="82" t="str">
        <f>Budget!I53</f>
        <v/>
      </c>
      <c r="N28" s="192" t="str">
        <f>Budget!K53</f>
        <v/>
      </c>
    </row>
    <row r="29">
      <c r="E29" s="187">
        <v>26.0</v>
      </c>
      <c r="M29" s="82" t="str">
        <f>Budget!I54</f>
        <v/>
      </c>
      <c r="N29" s="192" t="str">
        <f>Budget!K54</f>
        <v/>
      </c>
    </row>
    <row r="30">
      <c r="E30" s="187">
        <v>27.0</v>
      </c>
      <c r="M30" s="82" t="str">
        <f>Budget!I55</f>
        <v/>
      </c>
      <c r="N30" s="192" t="str">
        <f>Budget!K55</f>
        <v/>
      </c>
    </row>
    <row r="31">
      <c r="E31" s="187">
        <v>28.0</v>
      </c>
      <c r="M31" s="82" t="str">
        <f>Budget!I56</f>
        <v/>
      </c>
      <c r="N31" s="192" t="str">
        <f>Budget!K56</f>
        <v/>
      </c>
    </row>
    <row r="32">
      <c r="E32" s="187">
        <v>29.0</v>
      </c>
      <c r="M32" s="82" t="str">
        <f>Budget!I57</f>
        <v/>
      </c>
      <c r="N32" s="192" t="str">
        <f>Budget!K57</f>
        <v/>
      </c>
    </row>
    <row r="33">
      <c r="E33" s="187">
        <v>30.0</v>
      </c>
      <c r="M33" s="82" t="str">
        <f>Budget!I58</f>
        <v/>
      </c>
      <c r="N33" s="192" t="str">
        <f>Budget!K58</f>
        <v/>
      </c>
    </row>
    <row r="34">
      <c r="E34" s="187">
        <v>31.0</v>
      </c>
      <c r="M34" s="82" t="str">
        <f>Budget!I62</f>
        <v>Loans</v>
      </c>
      <c r="N34" s="192">
        <f>Budget!K62</f>
        <v>400</v>
      </c>
    </row>
    <row r="35">
      <c r="M35" s="82" t="str">
        <f>Budget!I63</f>
        <v>Train pass</v>
      </c>
      <c r="N35" s="192">
        <f>Budget!K63</f>
        <v>50</v>
      </c>
    </row>
    <row r="36">
      <c r="M36" s="82" t="str">
        <f>Budget!I64</f>
        <v/>
      </c>
      <c r="N36" s="192" t="str">
        <f>Budget!K64</f>
        <v/>
      </c>
    </row>
    <row r="37">
      <c r="M37" s="82" t="str">
        <f>Budget!I65</f>
        <v/>
      </c>
      <c r="N37" s="192" t="str">
        <f>Budget!K65</f>
        <v/>
      </c>
    </row>
    <row r="38">
      <c r="M38" s="82" t="str">
        <f>Budget!I66</f>
        <v/>
      </c>
      <c r="N38" s="192" t="str">
        <f>Budget!K66</f>
        <v/>
      </c>
    </row>
    <row r="39">
      <c r="M39" s="82" t="str">
        <f>Budget!I67</f>
        <v/>
      </c>
      <c r="N39" s="192" t="str">
        <f>Budget!K67</f>
        <v/>
      </c>
    </row>
    <row r="40">
      <c r="M40" s="82" t="str">
        <f>Budget!I68</f>
        <v/>
      </c>
      <c r="N40" s="192" t="str">
        <f>Budget!K68</f>
        <v/>
      </c>
    </row>
    <row r="41">
      <c r="M41" s="82" t="str">
        <f>Budget!I69</f>
        <v/>
      </c>
      <c r="N41" s="192" t="str">
        <f>Budget!K69</f>
        <v/>
      </c>
    </row>
    <row r="42">
      <c r="M42" s="82" t="str">
        <f>Budget!I73</f>
        <v>bubble tea</v>
      </c>
      <c r="N42" s="192">
        <f>Budget!K73</f>
        <v>100</v>
      </c>
    </row>
    <row r="43">
      <c r="M43" s="82" t="str">
        <f>Budget!I74</f>
        <v/>
      </c>
      <c r="N43" s="192" t="str">
        <f>Budget!K74</f>
        <v/>
      </c>
    </row>
    <row r="44">
      <c r="M44" s="82" t="str">
        <f>Budget!I75</f>
        <v/>
      </c>
      <c r="N44" s="192" t="str">
        <f>Budget!K75</f>
        <v/>
      </c>
    </row>
    <row r="45">
      <c r="M45" s="82" t="str">
        <f>Budget!I76</f>
        <v/>
      </c>
      <c r="N45" s="192" t="str">
        <f>Budget!K76</f>
        <v/>
      </c>
    </row>
    <row r="46">
      <c r="M46" s="82" t="str">
        <f>Budget!I77</f>
        <v/>
      </c>
      <c r="N46" s="192" t="str">
        <f>Budget!K77</f>
        <v/>
      </c>
    </row>
    <row r="47">
      <c r="M47" s="82" t="str">
        <f>Budget!I81</f>
        <v>Saving to buy Vic20</v>
      </c>
      <c r="N47" s="192">
        <f>Budget!K81</f>
        <v>100</v>
      </c>
    </row>
    <row r="48">
      <c r="M48" s="82" t="str">
        <f>Budget!I82</f>
        <v/>
      </c>
      <c r="N48" s="82" t="str">
        <f>Budget!K82</f>
        <v/>
      </c>
    </row>
    <row r="49">
      <c r="M49" s="82" t="str">
        <f>Budget!I83</f>
        <v/>
      </c>
      <c r="N49" s="82" t="str">
        <f>Budget!K83</f>
        <v/>
      </c>
    </row>
    <row r="50">
      <c r="M50" s="192" t="str">
        <f>Budget!I84</f>
        <v/>
      </c>
      <c r="N50" s="192" t="str">
        <f>Budget!K84</f>
        <v/>
      </c>
    </row>
    <row r="51">
      <c r="N51" s="82" t="str">
        <f>Budget!K85</f>
        <v/>
      </c>
    </row>
    <row r="52">
      <c r="N52" s="82" t="str">
        <f>Budget!K86</f>
        <v/>
      </c>
    </row>
    <row r="53">
      <c r="N53" s="82" t="str">
        <f>Budget!K87</f>
        <v/>
      </c>
    </row>
    <row r="54">
      <c r="M54" s="82" t="str">
        <f>Budget!I88</f>
        <v/>
      </c>
      <c r="N54" s="82" t="str">
        <f>Budget!K88</f>
        <v/>
      </c>
    </row>
    <row r="55">
      <c r="M55" s="82" t="str">
        <f>Budget!I89</f>
        <v/>
      </c>
      <c r="N55" s="82" t="str">
        <f>Budget!K89</f>
        <v/>
      </c>
    </row>
    <row r="56">
      <c r="M56" s="82" t="str">
        <f>Budget!I90</f>
        <v/>
      </c>
      <c r="N56" s="82" t="str">
        <f>Budget!K90</f>
        <v/>
      </c>
    </row>
    <row r="57">
      <c r="M57" s="82" t="str">
        <f>Budget!I91</f>
        <v/>
      </c>
      <c r="N57" s="82" t="str">
        <f>Budget!K91</f>
        <v/>
      </c>
    </row>
    <row r="58">
      <c r="M58" s="82" t="str">
        <f>Budget!I92</f>
        <v/>
      </c>
      <c r="N58" s="82" t="str">
        <f>Budget!K92</f>
        <v/>
      </c>
    </row>
    <row r="59">
      <c r="M59" s="82" t="str">
        <f>Budget!I93</f>
        <v/>
      </c>
      <c r="N59" s="82" t="str">
        <f>Budget!K93</f>
        <v/>
      </c>
    </row>
    <row r="60">
      <c r="M60" s="82" t="str">
        <f>Budget!I94</f>
        <v/>
      </c>
      <c r="N60" s="82" t="str">
        <f>Budget!K94</f>
        <v/>
      </c>
    </row>
    <row r="61">
      <c r="M61" s="82" t="str">
        <f>Budget!I95</f>
        <v/>
      </c>
      <c r="N61" s="82" t="str">
        <f>Budget!K95</f>
        <v/>
      </c>
    </row>
    <row r="62">
      <c r="M62" s="82" t="str">
        <f>Budget!I96</f>
        <v/>
      </c>
      <c r="N62" s="82" t="str">
        <f>Budget!K96</f>
        <v/>
      </c>
    </row>
    <row r="63">
      <c r="M63" s="82" t="str">
        <f>Budget!I97</f>
        <v/>
      </c>
      <c r="N63" s="82" t="str">
        <f>Budget!K97</f>
        <v/>
      </c>
    </row>
    <row r="64">
      <c r="M64" s="82" t="str">
        <f>Budget!I98</f>
        <v/>
      </c>
      <c r="N64" s="82" t="str">
        <f>Budget!K98</f>
        <v/>
      </c>
    </row>
    <row r="65">
      <c r="M65" s="82" t="str">
        <f>Budget!I99</f>
        <v/>
      </c>
      <c r="N65" s="82" t="str">
        <f>Budget!K99</f>
        <v/>
      </c>
    </row>
    <row r="66">
      <c r="M66" s="82" t="str">
        <f>Budget!I100</f>
        <v/>
      </c>
      <c r="N66" s="82" t="str">
        <f>Budget!K100</f>
        <v/>
      </c>
    </row>
    <row r="67">
      <c r="M67" s="82" t="str">
        <f>Budget!I101</f>
        <v/>
      </c>
      <c r="N67" s="82" t="str">
        <f>Budget!K101</f>
        <v/>
      </c>
    </row>
    <row r="68">
      <c r="M68" s="82" t="str">
        <f>Budget!I102</f>
        <v/>
      </c>
      <c r="N68" s="82" t="str">
        <f>Budget!K102</f>
        <v/>
      </c>
    </row>
    <row r="69">
      <c r="M69" s="82" t="str">
        <f>Budget!I103</f>
        <v/>
      </c>
      <c r="N69" s="82" t="str">
        <f>Budget!K103</f>
        <v/>
      </c>
    </row>
    <row r="70">
      <c r="M70" s="82" t="str">
        <f>Budget!I104</f>
        <v/>
      </c>
      <c r="N70" s="82" t="str">
        <f>Budget!K104</f>
        <v/>
      </c>
    </row>
    <row r="71">
      <c r="M71" s="82" t="str">
        <f>Budget!I105</f>
        <v/>
      </c>
      <c r="N71" s="82" t="str">
        <f>Budget!K105</f>
        <v/>
      </c>
    </row>
    <row r="72">
      <c r="M72" s="82" t="str">
        <f>Budget!I106</f>
        <v/>
      </c>
      <c r="N72" s="82" t="str">
        <f>Budget!K106</f>
        <v/>
      </c>
    </row>
    <row r="73">
      <c r="M73" s="82" t="str">
        <f>Budget!I107</f>
        <v/>
      </c>
      <c r="N73" s="82" t="str">
        <f>Budget!K107</f>
        <v/>
      </c>
    </row>
  </sheetData>
  <drawing r:id="rId1"/>
</worksheet>
</file>