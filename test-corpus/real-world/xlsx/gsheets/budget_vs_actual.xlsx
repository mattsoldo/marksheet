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🌀 Learn more about Coefficient" sheetId="2" r:id="rId6"/>
  </sheets>
  <definedNames>
    <definedName name="coeff_addon_launched">'🌀 Learn more about Coefficient'!$E$15</definedName>
    <definedName name="coeff_ok_check">'🌀 Learn more about Coefficient'!$B$15</definedName>
    <definedName name="coeff_made_copy">'🌀 Learn more about Coefficient'!$H$15</definedName>
    <definedName name="coeff_importrange_check">'🌀 Learn more about Coefficient'!$C$15</definedName>
  </definedNames>
  <calcPr/>
</workbook>
</file>

<file path=xl/sharedStrings.xml><?xml version="1.0" encoding="utf-8"?>
<sst xmlns="http://schemas.openxmlformats.org/spreadsheetml/2006/main" count="72" uniqueCount="64">
  <si>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</si>
  <si>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</si>
  <si>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</si>
  <si>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</si>
  <si>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</si>
  <si>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</si>
  <si>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</si>
  <si>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rFont val="Proxima Nova"/>
        <color rgb="FF000000"/>
        <sz val="14.0"/>
      </rPr>
      <t>Click “</t>
    </r>
    <r>
      <rPr>
        <rFont val="Proxima Nova"/>
        <b/>
        <color rgb="FF000000"/>
        <sz val="14.0"/>
      </rPr>
      <t>Extensions</t>
    </r>
    <r>
      <rPr>
        <rFont val="Proxima Nova"/>
        <color rgb="FF000000"/>
        <sz val="14.0"/>
      </rPr>
      <t>” &gt; "</t>
    </r>
    <r>
      <rPr>
        <rFont val="Proxima Nova"/>
        <b/>
        <color rgb="FF000000"/>
        <sz val="14.0"/>
      </rPr>
      <t>Coefficient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Launch</t>
    </r>
    <r>
      <rPr>
        <rFont val="Proxima Nova"/>
        <color rgb="FF000000"/>
        <sz val="14.0"/>
      </rPr>
      <t>"</t>
    </r>
  </si>
  <si>
    <r>
      <rPr>
        <rFont val="Proxima Nova"/>
        <color rgb="FF000000"/>
        <sz val="14.0"/>
      </rPr>
      <t xml:space="preserve">Click </t>
    </r>
    <r>
      <rPr>
        <rFont val="Proxima Nova"/>
        <b/>
        <color rgb="FF000000"/>
        <sz val="14.0"/>
      </rPr>
      <t>"Import from..."</t>
    </r>
    <r>
      <rPr>
        <rFont val="Proxima Nova"/>
        <color rgb="FF000000"/>
        <sz val="14.0"/>
      </rPr>
      <t xml:space="preserve"> then select the source you'd like to import data from. With a simple selector and prompts along the way, you'll pull your first data import in just 60 seconds.</t>
    </r>
  </si>
  <si>
    <r>
      <rPr>
        <rFont val="Proxima Nova"/>
        <color rgb="FF000000"/>
        <sz val="14.0"/>
      </rPr>
      <t xml:space="preserve">In the </t>
    </r>
    <r>
      <rPr>
        <rFont val="Proxima Nova"/>
        <b/>
        <color rgb="FF000000"/>
        <sz val="14.0"/>
      </rPr>
      <t>popup window</t>
    </r>
    <r>
      <rPr>
        <rFont val="Proxima Nova"/>
        <color rgb="FF000000"/>
        <sz val="14.0"/>
      </rPr>
      <t xml:space="preserve">, click the </t>
    </r>
    <r>
      <rPr>
        <rFont val="Proxima Nova"/>
        <b/>
        <color rgb="FF000000"/>
        <sz val="14.0"/>
      </rPr>
      <t>"INSTALL"</t>
    </r>
    <r>
      <rPr>
        <rFont val="Proxima Nova"/>
        <color rgb="FF000000"/>
        <sz val="14.0"/>
      </rPr>
      <t xml:space="preserve"> button 
Click </t>
    </r>
    <r>
      <rPr>
        <rFont val="Proxima Nova"/>
        <b/>
        <color rgb="FF000000"/>
        <sz val="14.0"/>
      </rPr>
      <t>“Continue”</t>
    </r>
    <r>
      <rPr>
        <rFont val="Proxima Nova"/>
        <color rgb="FF000000"/>
        <sz val="14.0"/>
      </rPr>
      <t xml:space="preserve"> to accept permissions</t>
    </r>
  </si>
  <si>
    <r>
      <rPr>
        <rFont val="Proxima Nova"/>
        <color rgb="FF000000"/>
        <sz val="13.0"/>
      </rPr>
      <t xml:space="preserve">🎥 </t>
    </r>
    <r>
      <rPr>
        <rFont val="Proxima Nova"/>
        <color rgb="FF1155CC"/>
        <sz val="13.0"/>
        <u/>
      </rPr>
      <t>See how it works</t>
    </r>
  </si>
  <si>
    <r>
      <rPr>
        <rFont val="Proxima Nova"/>
        <color rgb="FF515151"/>
        <sz val="13.0"/>
      </rPr>
      <t>⚠️</t>
    </r>
    <r>
      <rPr>
        <rFont val="Proxima Nova"/>
        <color rgb="FF000000"/>
        <sz val="13.0"/>
      </rPr>
      <t xml:space="preserve"> If you run into an error,</t>
    </r>
    <r>
      <rPr>
        <rFont val="Proxima Nova"/>
        <color rgb="FF515151"/>
        <sz val="13.0"/>
      </rPr>
      <t xml:space="preserve">  </t>
    </r>
    <r>
      <rPr>
        <rFont val="Proxima Nova"/>
        <color rgb="FF1155CC"/>
        <sz val="13.0"/>
        <u/>
      </rPr>
      <t>click here</t>
    </r>
  </si>
  <si>
    <t>QuickBooks Budget vs. Actual Report Template</t>
  </si>
  <si>
    <t>Your logo here</t>
  </si>
  <si>
    <t xml:space="preserve">   YOUR COMPANY NAME</t>
  </si>
  <si>
    <t>QuickBooks Budget vs Actual Profit and Loss</t>
  </si>
  <si>
    <t>For the Year Ended 12/31/2024</t>
  </si>
  <si>
    <t>CATEGORY</t>
  </si>
  <si>
    <t>2024 BUDGET</t>
  </si>
  <si>
    <t>2024 ACTUAL</t>
  </si>
  <si>
    <t>$ VARIANCE</t>
  </si>
  <si>
    <t>% VARIANCE</t>
  </si>
  <si>
    <t>NOTES</t>
  </si>
  <si>
    <t>REVENUE</t>
  </si>
  <si>
    <t>COST OF GOODS SOLD</t>
  </si>
  <si>
    <t>Unexpected increase in materials and labor costs</t>
  </si>
  <si>
    <t>TOTAL EXPENSES</t>
  </si>
  <si>
    <t>NET PROFIT / LOSS</t>
  </si>
  <si>
    <t>Sales Revenue</t>
  </si>
  <si>
    <t>Other Revenue</t>
  </si>
  <si>
    <t>Sales Discounts</t>
  </si>
  <si>
    <t>Sales Returns, allowances and others</t>
  </si>
  <si>
    <t>Cost of raw materials</t>
  </si>
  <si>
    <t>Cost of parts used</t>
  </si>
  <si>
    <t>Direct labor costs</t>
  </si>
  <si>
    <t>Overhead costs</t>
  </si>
  <si>
    <t>Less Sales Returns</t>
  </si>
  <si>
    <t>Less Sales Discounts</t>
  </si>
  <si>
    <t>Less Cost of Goods Sold</t>
  </si>
  <si>
    <t>GROSS PROFIT/LOSS</t>
  </si>
  <si>
    <t>EXPENSES</t>
  </si>
  <si>
    <t>Automobile</t>
  </si>
  <si>
    <t>Rented Equipment</t>
  </si>
  <si>
    <t>Insurance</t>
  </si>
  <si>
    <t>Job expenses</t>
  </si>
  <si>
    <t>Legal and Professional Fees</t>
  </si>
  <si>
    <t>Sudden increase of professional costs by accredited providers</t>
  </si>
  <si>
    <t>Maintenance and Repair</t>
  </si>
  <si>
    <t>Meals</t>
  </si>
  <si>
    <t>Office Expenses</t>
  </si>
  <si>
    <t>Rent or Lease</t>
  </si>
  <si>
    <t>Change in rented space</t>
  </si>
  <si>
    <t>Utilities</t>
  </si>
  <si>
    <t>Vehicle Expenses</t>
  </si>
  <si>
    <t>Miscellaneous Expenses</t>
  </si>
  <si>
    <t>NET OPERATING INCOME/LOSS</t>
  </si>
  <si>
    <t>OTHER INCOME</t>
  </si>
  <si>
    <t>Interest Earned</t>
  </si>
  <si>
    <t>One-off Income</t>
  </si>
  <si>
    <t>OTHER EXPENSES</t>
  </si>
  <si>
    <t>Work-from-home Expenses</t>
  </si>
  <si>
    <t>One-off Expense</t>
  </si>
  <si>
    <t>NET OTHER INCOME/LOSS</t>
  </si>
  <si>
    <t>NET INCOME/LOSS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</si>
</sst>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h&quot;:&quot;mm&quot;:&quot;ss"/>
    <numFmt numFmtId="165" formatCode="[$$]#,##0;-[$$]#,##0;-"/>
  </numFmts>
  <fonts count="32">
    <font>
      <sz val="10.0"/>
      <color rgb="FF000000"/>
      <name val="Arial"/>
      <scheme val="minor"/>
    </font>
    <font>
      <color theme="1"/>
      <name val="Proxima Nova"/>
    </font>
    <font>
      <color rgb="FF666666"/>
      <name val="Proxima Nova"/>
    </font>
    <font>
      <b/>
      <sz val="24.0"/>
      <color rgb="FF000000"/>
      <name val="Proxima Nova"/>
    </font>
    <font>
      <b/>
      <sz val="28.0"/>
      <color rgb="FF000000"/>
      <name val="Proxima Nova"/>
    </font>
    <font>
      <sz val="36.0"/>
      <color rgb="FF3053FF"/>
      <name val="Proxima Nova"/>
    </font>
    <font>
      <b/>
      <sz val="18.0"/>
      <color rgb="FF3053FF"/>
      <name val="Proxima Nova"/>
    </font>
    <font>
      <sz val="50.0"/>
      <color theme="1"/>
      <name val="Proxima Nova"/>
    </font>
    <font>
      <sz val="24.0"/>
      <color theme="1"/>
      <name val="Proxima Nova"/>
    </font>
    <font>
      <sz val="14.0"/>
      <color rgb="FF000000"/>
      <name val="Proxima Nova"/>
    </font>
    <font>
      <i/>
      <sz val="12.0"/>
      <color rgb="FF515151"/>
      <name val="Proxima Nova"/>
    </font>
    <font>
      <color rgb="FF515151"/>
      <name val="Proxima Nova"/>
    </font>
    <font>
      <u/>
      <sz val="13.0"/>
      <color rgb="FF000000"/>
      <name val="Proxima Nova"/>
    </font>
    <font>
      <u/>
      <sz val="13.0"/>
      <color rgb="FF515151"/>
      <name val="Proxima Nova"/>
    </font>
    <font>
      <color rgb="FFFFFFFF"/>
      <name val="Proxima Nova"/>
    </font>
    <font>
      <sz val="9.0"/>
      <color rgb="FFFFFFFF"/>
      <name val="&quot;Google Sans Mono&quot;"/>
    </font>
    <font>
      <sz val="11.0"/>
      <color rgb="FFFFFFFF"/>
      <name val="Proxima Nova"/>
    </font>
    <font>
      <b/>
      <sz val="22.0"/>
      <color rgb="FFFFFFFF"/>
      <name val="Proxima Nova"/>
    </font>
    <font>
      <b/>
      <sz val="20.0"/>
      <color rgb="FFFFFFFF"/>
      <name val="Proxima Nova"/>
    </font>
    <font>
      <sz val="12.0"/>
      <color rgb="FF000000"/>
      <name val="Proxima Nova"/>
    </font>
    <font>
      <b/>
      <sz val="13.0"/>
      <color rgb="FFFFFFFF"/>
      <name val="Proxima Nova"/>
    </font>
    <font>
      <sz val="13.0"/>
      <color rgb="FFFFFFFF"/>
      <name val="Proxima Nova"/>
    </font>
    <font>
      <b/>
      <sz val="14.0"/>
      <color rgb="FFFFFFFF"/>
      <name val="Proxima Nova"/>
    </font>
    <font>
      <sz val="12.0"/>
      <color theme="1"/>
      <name val="Proxima Nova"/>
    </font>
    <font>
      <b/>
      <sz val="12.0"/>
      <color theme="1"/>
      <name val="Proxima Nova"/>
    </font>
    <font>
      <b/>
      <sz val="10.0"/>
      <color rgb="FFFFFFFF"/>
      <name val="Proxima Nova"/>
    </font>
    <font>
      <b/>
      <sz val="10.0"/>
      <color theme="1"/>
      <name val="Proxima Nova"/>
    </font>
    <font>
      <sz val="10.0"/>
      <color theme="1"/>
      <name val="Proxima Nova"/>
    </font>
    <font/>
    <font>
      <b/>
      <sz val="11.0"/>
      <color rgb="FFFFFFFF"/>
      <name val="Proxima Nova"/>
    </font>
    <font>
      <sz val="11.0"/>
      <color theme="1"/>
      <name val="Proxima Nova"/>
    </font>
    <font>
      <b/>
      <sz val="11.0"/>
      <color theme="1"/>
      <name val="Proxima Nova"/>
    </font>
  </fonts>
  <fills count="11">
    <fill>
      <patternFill patternType="none"/>
    </fill>
    <fill>
      <patternFill patternType="lightGray"/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892D"/>
        <bgColor rgb="FF00892D"/>
      </patternFill>
    </fill>
    <fill>
      <patternFill patternType="solid">
        <fgColor rgb="FF3CD85E"/>
        <bgColor rgb="FF3CD85E"/>
      </patternFill>
    </fill>
    <fill>
      <patternFill patternType="solid">
        <fgColor rgb="FFECF6EE"/>
        <bgColor rgb="FFECF6EE"/>
      </patternFill>
    </fill>
    <fill>
      <patternFill patternType="solid">
        <fgColor rgb="FFEAF6F7"/>
        <bgColor rgb="FFEAF6F7"/>
      </patternFill>
    </fill>
    <fill>
      <patternFill patternType="solid">
        <fgColor rgb="FFC9DAF8"/>
        <bgColor rgb="FFC9DAF8"/>
      </patternFill>
    </fill>
  </fills>
  <borders count="7">
    <border/>
    <border>
      <left/>
      <top/>
      <bottom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horizontal="right"/>
    </xf>
    <xf borderId="0" fillId="3" fontId="2" numFmtId="0" xfId="0" applyAlignment="1" applyFont="1">
      <alignment horizontal="right" readingOrder="0" shrinkToFit="0" vertical="top" wrapText="1"/>
    </xf>
    <xf borderId="0" fillId="2" fontId="1" numFmtId="0" xfId="0" applyAlignment="1" applyFont="1">
      <alignment vertical="center"/>
    </xf>
    <xf borderId="0" fillId="3" fontId="3" numFmtId="0" xfId="0" applyAlignment="1" applyFont="1">
      <alignment horizontal="center" readingOrder="0" vertical="center"/>
    </xf>
    <xf borderId="0" fillId="3" fontId="4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0" fillId="3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4" fontId="12" numFmtId="0" xfId="0" applyAlignment="1" applyFill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4" numFmtId="0" xfId="0" applyFont="1"/>
    <xf borderId="0" fillId="5" fontId="15" numFmtId="0" xfId="0" applyFill="1" applyFont="1"/>
    <xf borderId="0" fillId="0" fontId="14" numFmtId="164" xfId="0" applyFont="1" applyNumberFormat="1"/>
    <xf borderId="0" fillId="0" fontId="14" numFmtId="0" xfId="0" applyAlignment="1" applyFont="1">
      <alignment readingOrder="0"/>
    </xf>
    <xf borderId="0" fillId="6" fontId="16" numFmtId="0" xfId="0" applyFill="1" applyFont="1"/>
    <xf borderId="0" fillId="6" fontId="17" numFmtId="0" xfId="0" applyAlignment="1" applyFont="1">
      <alignment horizontal="left" vertical="center"/>
    </xf>
    <xf borderId="0" fillId="6" fontId="18" numFmtId="165" xfId="0" applyAlignment="1" applyFont="1" applyNumberFormat="1">
      <alignment horizontal="center" vertical="center"/>
    </xf>
    <xf borderId="0" fillId="6" fontId="18" numFmtId="0" xfId="0" applyAlignment="1" applyFont="1">
      <alignment vertical="center"/>
    </xf>
    <xf borderId="0" fillId="6" fontId="16" numFmtId="0" xfId="0" applyAlignment="1" applyFont="1">
      <alignment horizontal="center"/>
    </xf>
    <xf borderId="0" fillId="7" fontId="19" numFmtId="0" xfId="0" applyAlignment="1" applyFill="1" applyFont="1">
      <alignment horizontal="center" readingOrder="0" shrinkToFit="0" vertical="center" wrapText="1"/>
    </xf>
    <xf borderId="0" fillId="6" fontId="17" numFmtId="0" xfId="0" applyAlignment="1" applyFont="1">
      <alignment horizontal="left" readingOrder="0" vertical="center"/>
    </xf>
    <xf borderId="0" fillId="6" fontId="20" numFmtId="0" xfId="0" applyAlignment="1" applyFont="1">
      <alignment horizontal="left" readingOrder="0" vertical="bottom"/>
    </xf>
    <xf borderId="0" fillId="6" fontId="18" numFmtId="0" xfId="0" applyAlignment="1" applyFont="1">
      <alignment horizontal="center" vertical="center"/>
    </xf>
    <xf borderId="0" fillId="6" fontId="21" numFmtId="0" xfId="0" applyAlignment="1" applyFont="1">
      <alignment horizontal="left" readingOrder="0" vertical="top"/>
    </xf>
    <xf borderId="0" fillId="6" fontId="22" numFmtId="0" xfId="0" applyAlignment="1" applyFont="1">
      <alignment horizontal="left" readingOrder="0" vertical="center"/>
    </xf>
    <xf borderId="0" fillId="0" fontId="23" numFmtId="0" xfId="0" applyFont="1"/>
    <xf borderId="1" fillId="0" fontId="23" numFmtId="0" xfId="0" applyBorder="1" applyFont="1"/>
    <xf borderId="1" fillId="0" fontId="24" numFmtId="0" xfId="0" applyAlignment="1" applyBorder="1" applyFont="1">
      <alignment horizontal="center" shrinkToFit="0" vertical="center" wrapText="1"/>
    </xf>
    <xf borderId="0" fillId="6" fontId="25" numFmtId="0" xfId="0" applyAlignment="1" applyFont="1">
      <alignment horizontal="left" readingOrder="0" vertical="center"/>
    </xf>
    <xf borderId="0" fillId="6" fontId="25" numFmtId="165" xfId="0" applyAlignment="1" applyFont="1" applyNumberFormat="1">
      <alignment horizontal="center" readingOrder="0" vertical="center"/>
    </xf>
    <xf borderId="0" fillId="6" fontId="25" numFmtId="165" xfId="0" applyAlignment="1" applyFont="1" applyNumberFormat="1">
      <alignment horizontal="center" readingOrder="0" shrinkToFit="0" vertical="center" wrapText="1"/>
    </xf>
    <xf borderId="0" fillId="6" fontId="25" numFmtId="0" xfId="0" applyAlignment="1" applyFont="1">
      <alignment horizontal="center" readingOrder="0" vertical="center"/>
    </xf>
    <xf borderId="0" fillId="5" fontId="26" numFmtId="0" xfId="0" applyAlignment="1" applyFont="1">
      <alignment horizontal="left" readingOrder="0" vertical="center"/>
    </xf>
    <xf borderId="0" fillId="5" fontId="26" numFmtId="165" xfId="0" applyAlignment="1" applyFont="1" applyNumberFormat="1">
      <alignment horizontal="center" readingOrder="0" vertical="center"/>
    </xf>
    <xf borderId="0" fillId="5" fontId="26" numFmtId="10" xfId="0" applyAlignment="1" applyFont="1" applyNumberFormat="1">
      <alignment horizontal="center" readingOrder="0" vertical="center"/>
    </xf>
    <xf borderId="0" fillId="5" fontId="27" numFmtId="0" xfId="0" applyAlignment="1" applyFont="1">
      <alignment horizontal="left" readingOrder="0" vertical="center"/>
    </xf>
    <xf borderId="0" fillId="8" fontId="26" numFmtId="0" xfId="0" applyAlignment="1" applyFill="1" applyFont="1">
      <alignment horizontal="left" readingOrder="0" vertical="center"/>
    </xf>
    <xf borderId="0" fillId="8" fontId="26" numFmtId="165" xfId="0" applyAlignment="1" applyFont="1" applyNumberFormat="1">
      <alignment horizontal="center" readingOrder="0" vertical="center"/>
    </xf>
    <xf borderId="0" fillId="8" fontId="26" numFmtId="10" xfId="0" applyAlignment="1" applyFont="1" applyNumberFormat="1">
      <alignment horizontal="center" readingOrder="0" vertical="center"/>
    </xf>
    <xf borderId="0" fillId="8" fontId="27" numFmtId="0" xfId="0" applyAlignment="1" applyFont="1">
      <alignment horizontal="left" readingOrder="0" vertical="center"/>
    </xf>
    <xf borderId="0" fillId="5" fontId="27" numFmtId="0" xfId="0" applyAlignment="1" applyFont="1">
      <alignment horizontal="left" readingOrder="0" vertical="center"/>
    </xf>
    <xf borderId="0" fillId="8" fontId="27" numFmtId="0" xfId="0" applyAlignment="1" applyFont="1">
      <alignment horizontal="left" readingOrder="0" vertical="center"/>
    </xf>
    <xf borderId="2" fillId="0" fontId="23" numFmtId="0" xfId="0" applyBorder="1" applyFont="1"/>
    <xf borderId="3" fillId="0" fontId="23" numFmtId="0" xfId="0" applyBorder="1" applyFont="1"/>
    <xf borderId="4" fillId="0" fontId="28" numFmtId="0" xfId="0" applyBorder="1" applyFont="1"/>
    <xf borderId="5" fillId="0" fontId="28" numFmtId="0" xfId="0" applyBorder="1" applyFont="1"/>
    <xf borderId="6" fillId="0" fontId="23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/>
    </xf>
    <xf borderId="2" fillId="0" fontId="23" numFmtId="0" xfId="0" applyAlignment="1" applyBorder="1" applyFont="1">
      <alignment vertical="top"/>
    </xf>
    <xf borderId="0" fillId="6" fontId="29" numFmtId="0" xfId="0" applyAlignment="1" applyFont="1">
      <alignment horizontal="left" readingOrder="0" vertical="center"/>
    </xf>
    <xf borderId="0" fillId="6" fontId="29" numFmtId="165" xfId="0" applyAlignment="1" applyFont="1" applyNumberFormat="1">
      <alignment horizontal="center" readingOrder="0" vertical="center"/>
    </xf>
    <xf borderId="0" fillId="6" fontId="29" numFmtId="165" xfId="0" applyAlignment="1" applyFont="1" applyNumberFormat="1">
      <alignment horizontal="center" readingOrder="0" shrinkToFit="0" vertical="center" wrapText="1"/>
    </xf>
    <xf borderId="0" fillId="0" fontId="30" numFmtId="0" xfId="0" applyAlignment="1" applyFont="1">
      <alignment vertical="top"/>
    </xf>
    <xf borderId="0" fillId="0" fontId="26" numFmtId="0" xfId="0" applyAlignment="1" applyFont="1">
      <alignment horizontal="left" vertical="center"/>
    </xf>
    <xf borderId="0" fillId="0" fontId="26" numFmtId="165" xfId="0" applyAlignment="1" applyFont="1" applyNumberFormat="1">
      <alignment horizontal="center" readingOrder="0" shrinkToFit="0" vertical="center" wrapText="1"/>
    </xf>
    <xf borderId="0" fillId="0" fontId="27" numFmtId="165" xfId="0" applyAlignment="1" applyFont="1" applyNumberFormat="1">
      <alignment horizontal="left" readingOrder="0" shrinkToFit="0" vertical="center" wrapText="1"/>
    </xf>
    <xf borderId="0" fillId="0" fontId="27" numFmtId="0" xfId="0" applyAlignment="1" applyFont="1">
      <alignment horizontal="left" readingOrder="0" vertical="center"/>
    </xf>
    <xf borderId="0" fillId="0" fontId="27" numFmtId="165" xfId="0" applyAlignment="1" applyFont="1" applyNumberFormat="1">
      <alignment horizontal="center" readingOrder="0" vertical="center"/>
    </xf>
    <xf borderId="0" fillId="0" fontId="27" numFmtId="10" xfId="0" applyAlignment="1" applyFont="1" applyNumberFormat="1">
      <alignment horizontal="center" readingOrder="0" vertical="center"/>
    </xf>
    <xf borderId="0" fillId="0" fontId="27" numFmtId="10" xfId="0" applyAlignment="1" applyFont="1" applyNumberFormat="1">
      <alignment horizontal="left" readingOrder="0" vertical="center"/>
    </xf>
    <xf borderId="0" fillId="8" fontId="26" numFmtId="0" xfId="0" applyAlignment="1" applyFont="1">
      <alignment horizontal="left" vertical="center"/>
    </xf>
    <xf borderId="0" fillId="8" fontId="26" numFmtId="165" xfId="0" applyAlignment="1" applyFont="1" applyNumberFormat="1">
      <alignment horizontal="center" vertical="center"/>
    </xf>
    <xf borderId="0" fillId="8" fontId="26" numFmtId="10" xfId="0" applyAlignment="1" applyFont="1" applyNumberFormat="1">
      <alignment horizontal="center" vertical="center"/>
    </xf>
    <xf borderId="0" fillId="8" fontId="27" numFmtId="10" xfId="0" applyAlignment="1" applyFont="1" applyNumberFormat="1">
      <alignment horizontal="left" vertical="center"/>
    </xf>
    <xf borderId="0" fillId="0" fontId="26" numFmtId="165" xfId="0" applyAlignment="1" applyFont="1" applyNumberFormat="1">
      <alignment horizontal="center" vertical="center"/>
    </xf>
    <xf borderId="0" fillId="0" fontId="26" numFmtId="10" xfId="0" applyAlignment="1" applyFont="1" applyNumberFormat="1">
      <alignment horizontal="center" vertical="center"/>
    </xf>
    <xf borderId="0" fillId="7" fontId="26" numFmtId="0" xfId="0" applyAlignment="1" applyFont="1">
      <alignment horizontal="left" vertical="center"/>
    </xf>
    <xf borderId="0" fillId="7" fontId="26" numFmtId="165" xfId="0" applyAlignment="1" applyFont="1" applyNumberFormat="1">
      <alignment horizontal="center" readingOrder="0" shrinkToFit="0" vertical="center" wrapText="1"/>
    </xf>
    <xf borderId="0" fillId="7" fontId="27" numFmtId="165" xfId="0" applyAlignment="1" applyFont="1" applyNumberFormat="1">
      <alignment horizontal="left" readingOrder="0" shrinkToFit="0" vertical="center" wrapText="1"/>
    </xf>
    <xf borderId="1" fillId="0" fontId="24" numFmtId="0" xfId="0" applyBorder="1" applyFont="1"/>
    <xf borderId="0" fillId="0" fontId="27" numFmtId="0" xfId="0" applyAlignment="1" applyFont="1">
      <alignment horizontal="left" vertical="center"/>
    </xf>
    <xf borderId="0" fillId="9" fontId="26" numFmtId="0" xfId="0" applyAlignment="1" applyFill="1" applyFont="1">
      <alignment horizontal="left" vertical="center"/>
    </xf>
    <xf borderId="0" fillId="9" fontId="26" numFmtId="165" xfId="0" applyAlignment="1" applyFont="1" applyNumberFormat="1">
      <alignment horizontal="center" vertical="center"/>
    </xf>
    <xf borderId="0" fillId="9" fontId="26" numFmtId="10" xfId="0" applyAlignment="1" applyFont="1" applyNumberFormat="1">
      <alignment horizontal="center" vertical="center"/>
    </xf>
    <xf borderId="0" fillId="9" fontId="27" numFmtId="10" xfId="0" applyAlignment="1" applyFont="1" applyNumberFormat="1">
      <alignment horizontal="left" vertical="center"/>
    </xf>
    <xf borderId="0" fillId="7" fontId="26" numFmtId="0" xfId="0" applyAlignment="1" applyFont="1">
      <alignment horizontal="left" readingOrder="0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6" numFmtId="0" xfId="0" applyAlignment="1" applyFont="1">
      <alignment horizontal="left" readingOrder="0" vertical="center"/>
    </xf>
    <xf borderId="0" fillId="0" fontId="27" numFmtId="10" xfId="0" applyAlignment="1" applyFont="1" applyNumberFormat="1">
      <alignment horizontal="left" vertical="center"/>
    </xf>
    <xf borderId="0" fillId="9" fontId="26" numFmtId="0" xfId="0" applyAlignment="1" applyFont="1">
      <alignment horizontal="left" readingOrder="0" vertical="center"/>
    </xf>
    <xf borderId="0" fillId="10" fontId="31" numFmtId="0" xfId="0" applyAlignment="1" applyFill="1" applyFont="1">
      <alignment horizontal="left" readingOrder="0" vertical="center"/>
    </xf>
    <xf borderId="0" fillId="10" fontId="31" numFmtId="165" xfId="0" applyAlignment="1" applyFont="1" applyNumberFormat="1">
      <alignment horizontal="center" vertical="center"/>
    </xf>
    <xf borderId="0" fillId="10" fontId="31" numFmtId="10" xfId="0" applyAlignment="1" applyFont="1" applyNumberFormat="1">
      <alignment horizontal="center" vertical="center"/>
    </xf>
    <xf borderId="0" fillId="10" fontId="30" numFmtId="10" xfId="0" applyAlignment="1" applyFont="1" applyNumberFormat="1">
      <alignment horizontal="left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C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Budget vs Actual High Level Overview</a:t>
            </a:r>
          </a:p>
        </c:rich>
      </c:tx>
      <c:overlay val="0"/>
    </c:title>
    <c:plotArea>
      <c:layout>
        <c:manualLayout>
          <c:xMode val="edge"/>
          <c:yMode val="edge"/>
          <c:x val="0.014320785597381341"/>
          <c:y val="0.18284789644012944"/>
          <c:w val="0.9710720130932897"/>
          <c:h val="0.6245954692556634"/>
        </c:manualLayout>
      </c:layout>
      <c:barChart>
        <c:barDir val="col"/>
        <c:ser>
          <c:idx val="0"/>
          <c:order val="0"/>
          <c:tx>
            <c:strRef>
              <c:f>Template!$C$17</c:f>
            </c:strRef>
          </c:tx>
          <c:spPr>
            <a:solidFill>
              <a:srgbClr val="3CD85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Template!$B$18:$B$21</c:f>
            </c:strRef>
          </c:cat>
          <c:val>
            <c:numRef>
              <c:f>Template!$C$18:$C$21</c:f>
              <c:numCache/>
            </c:numRef>
          </c:val>
        </c:ser>
        <c:ser>
          <c:idx val="1"/>
          <c:order val="1"/>
          <c:tx>
            <c:strRef>
              <c:f>Template!$D$17</c:f>
            </c:strRef>
          </c:tx>
          <c:spPr>
            <a:solidFill>
              <a:srgbClr val="00892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Template!$B$18:$B$21</c:f>
            </c:strRef>
          </c:cat>
          <c:val>
            <c:numRef>
              <c:f>Template!$D$18:$D$21</c:f>
              <c:numCache/>
            </c:numRef>
          </c:val>
        </c:ser>
        <c:ser>
          <c:idx val="2"/>
          <c:order val="2"/>
          <c:tx>
            <c:strRef>
              <c:f>Template!$E$17</c:f>
            </c:strRef>
          </c:tx>
          <c:cat>
            <c:strRef>
              <c:f>Template!$B$18:$B$21</c:f>
            </c:strRef>
          </c:cat>
          <c:val>
            <c:numRef>
              <c:f>Template!$E$18:$E$21</c:f>
              <c:numCache/>
            </c:numRef>
          </c:val>
        </c:ser>
        <c:ser>
          <c:idx val="3"/>
          <c:order val="3"/>
          <c:tx>
            <c:strRef>
              <c:f>Template!$F$17</c:f>
            </c:strRef>
          </c:tx>
          <c:cat>
            <c:strRef>
              <c:f>Template!$B$18:$B$21</c:f>
            </c:strRef>
          </c:cat>
          <c:val>
            <c:numRef>
              <c:f>Template!$F$18:$F$21</c:f>
              <c:numCache/>
            </c:numRef>
          </c:val>
        </c:ser>
        <c:ser>
          <c:idx val="4"/>
          <c:order val="4"/>
          <c:tx>
            <c:strRef>
              <c:f>Template!$G$17</c:f>
            </c:strRef>
          </c:tx>
          <c:cat>
            <c:strRef>
              <c:f>Template!$B$18:$B$21</c:f>
            </c:strRef>
          </c:cat>
          <c:val>
            <c:numRef>
              <c:f>Template!$G$18:$G$21</c:f>
              <c:numCache/>
            </c:numRef>
          </c:val>
        </c:ser>
        <c:axId val="213244113"/>
        <c:axId val="378415876"/>
      </c:barChart>
      <c:catAx>
        <c:axId val="213244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415876"/>
      </c:catAx>
      <c:valAx>
        <c:axId val="378415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ECF6EE"/>
                </a:solidFill>
                <a:latin typeface="+mn-lt"/>
              </a:defRPr>
            </a:pPr>
          </a:p>
        </c:txPr>
        <c:crossAx val="2132441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CF6EE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</xdr:row>
      <xdr:rowOff>152400</xdr:rowOff>
    </xdr:from>
    <xdr:ext cx="1163955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</xdr:row>
      <xdr:rowOff>438150</xdr:rowOff>
    </xdr:from>
    <xdr:ext cx="4248150" cy="2552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-28575</xdr:colOff>
      <xdr:row>0</xdr:row>
      <xdr:rowOff>0</xdr:rowOff>
    </xdr:from>
    <xdr:ext cx="13611225" cy="35909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product" TargetMode="External"/><Relationship Id="rId2" Type="http://schemas.openxmlformats.org/officeDocument/2006/relationships/hyperlink" Target="https://coefficient.io/i-am-unable-to-install-the-coefficient-google-sheets-extension/?utm_medium=referral&amp;utm_source=get-started-sheet&amp;utm_campaign=quickstar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D32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3.38"/>
    <col customWidth="1" min="3" max="3" width="9.75"/>
    <col customWidth="1" min="4" max="5" width="8.88"/>
    <col customWidth="1" min="6" max="9" width="17.25"/>
    <col customWidth="1" min="10" max="10" width="53.5"/>
    <col customWidth="1" min="11" max="11" width="2.88"/>
  </cols>
  <sheetData>
    <row r="1">
      <c r="A1" s="32"/>
      <c r="B1" s="32"/>
      <c r="C1" s="33"/>
      <c r="D1" s="33"/>
      <c r="E1" s="33"/>
      <c r="F1" s="34"/>
      <c r="G1" s="34"/>
      <c r="H1" s="34"/>
      <c r="I1" s="34"/>
      <c r="J1" s="35"/>
      <c r="K1" s="35"/>
    </row>
    <row r="2" ht="25.5" customHeight="1">
      <c r="A2" s="36"/>
      <c r="B2" s="37" t="s">
        <v>13</v>
      </c>
      <c r="D2" s="38" t="s">
        <v>14</v>
      </c>
      <c r="H2" s="38"/>
      <c r="I2" s="38"/>
      <c r="J2" s="39" t="s">
        <v>15</v>
      </c>
      <c r="K2" s="40"/>
    </row>
    <row r="3" ht="25.5" customHeight="1">
      <c r="A3" s="36"/>
      <c r="H3" s="38"/>
      <c r="I3" s="38"/>
      <c r="J3" s="41" t="s">
        <v>16</v>
      </c>
      <c r="K3" s="40"/>
    </row>
    <row r="4">
      <c r="A4" s="36"/>
      <c r="B4" s="42"/>
      <c r="C4" s="42"/>
      <c r="D4" s="42"/>
      <c r="E4" s="42"/>
      <c r="F4" s="42"/>
      <c r="G4" s="42"/>
      <c r="H4" s="42"/>
      <c r="I4" s="42"/>
      <c r="J4" s="40"/>
      <c r="K4" s="40"/>
    </row>
    <row r="5">
      <c r="A5" s="43"/>
      <c r="B5" s="43"/>
      <c r="C5" s="26"/>
      <c r="D5" s="26"/>
      <c r="E5" s="26"/>
      <c r="F5" s="26"/>
      <c r="G5" s="26"/>
      <c r="H5" s="26"/>
      <c r="I5" s="26"/>
      <c r="J5" s="43"/>
      <c r="K5" s="43"/>
    </row>
    <row r="6" ht="21.75" customHeight="1">
      <c r="A6" s="43"/>
      <c r="B6" s="43"/>
      <c r="C6" s="26"/>
      <c r="D6" s="26"/>
      <c r="E6" s="26"/>
      <c r="F6" s="26"/>
      <c r="G6" s="26"/>
      <c r="H6" s="26"/>
      <c r="I6" s="26"/>
      <c r="J6" s="43"/>
      <c r="K6" s="43"/>
    </row>
    <row r="7" ht="21.75" customHeight="1">
      <c r="A7" s="43"/>
      <c r="B7" s="43"/>
      <c r="C7" s="26"/>
      <c r="D7" s="26"/>
      <c r="E7" s="26"/>
      <c r="F7" s="26"/>
      <c r="G7" s="26"/>
      <c r="H7" s="26"/>
      <c r="I7" s="26"/>
      <c r="J7" s="43"/>
      <c r="K7" s="43"/>
    </row>
    <row r="8" ht="21.75" customHeight="1">
      <c r="A8" s="43"/>
      <c r="B8" s="43"/>
      <c r="C8" s="26"/>
      <c r="D8" s="26"/>
      <c r="E8" s="26"/>
      <c r="F8" s="26"/>
      <c r="G8" s="26"/>
      <c r="H8" s="26"/>
      <c r="I8" s="26"/>
      <c r="J8" s="43"/>
      <c r="K8" s="43"/>
    </row>
    <row r="9" ht="21.75" customHeight="1">
      <c r="A9" s="43"/>
      <c r="B9" s="43"/>
      <c r="C9" s="26"/>
      <c r="D9" s="26"/>
      <c r="E9" s="26"/>
      <c r="F9" s="26"/>
      <c r="G9" s="26"/>
      <c r="H9" s="26"/>
      <c r="I9" s="26"/>
      <c r="J9" s="43"/>
      <c r="K9" s="43"/>
    </row>
    <row r="10" ht="21.75" customHeight="1">
      <c r="A10" s="43"/>
      <c r="B10" s="43"/>
      <c r="C10" s="26"/>
      <c r="D10" s="26"/>
      <c r="E10" s="26"/>
      <c r="F10" s="26"/>
      <c r="G10" s="26"/>
      <c r="H10" s="26"/>
      <c r="I10" s="26"/>
      <c r="J10" s="43"/>
      <c r="K10" s="43"/>
    </row>
    <row r="11" ht="21.75" customHeight="1">
      <c r="A11" s="43"/>
      <c r="B11" s="43"/>
      <c r="C11" s="26"/>
      <c r="D11" s="26"/>
      <c r="E11" s="26"/>
      <c r="F11" s="26"/>
      <c r="G11" s="26"/>
      <c r="H11" s="26"/>
      <c r="I11" s="26"/>
      <c r="J11" s="43"/>
      <c r="K11" s="43"/>
    </row>
    <row r="12" ht="21.75" customHeight="1">
      <c r="A12" s="43"/>
      <c r="B12" s="43"/>
      <c r="C12" s="26"/>
      <c r="D12" s="26"/>
      <c r="E12" s="26"/>
      <c r="F12" s="26"/>
      <c r="G12" s="26"/>
      <c r="H12" s="26"/>
      <c r="I12" s="26"/>
      <c r="J12" s="43"/>
      <c r="K12" s="43"/>
    </row>
    <row r="13" ht="21.75" customHeight="1">
      <c r="A13" s="43"/>
      <c r="B13" s="43"/>
      <c r="C13" s="26"/>
      <c r="D13" s="26"/>
      <c r="E13" s="26"/>
      <c r="F13" s="26"/>
      <c r="G13" s="26"/>
      <c r="H13" s="26"/>
      <c r="I13" s="26"/>
      <c r="J13" s="43"/>
      <c r="K13" s="43"/>
    </row>
    <row r="14" ht="21.75" customHeight="1">
      <c r="A14" s="43"/>
      <c r="B14" s="43"/>
      <c r="C14" s="26"/>
      <c r="D14" s="26"/>
      <c r="E14" s="26"/>
      <c r="F14" s="26"/>
      <c r="G14" s="26"/>
      <c r="H14" s="26"/>
      <c r="I14" s="26"/>
      <c r="J14" s="43"/>
      <c r="K14" s="43"/>
    </row>
    <row r="15" ht="21.75" customHeight="1">
      <c r="A15" s="43"/>
      <c r="B15" s="43"/>
      <c r="C15" s="26"/>
      <c r="D15" s="26"/>
      <c r="E15" s="26"/>
      <c r="F15" s="26"/>
      <c r="G15" s="26"/>
      <c r="H15" s="26"/>
      <c r="I15" s="26"/>
      <c r="J15" s="43"/>
      <c r="K15" s="43"/>
    </row>
    <row r="16" ht="21.75" customHeight="1">
      <c r="A16" s="44"/>
      <c r="B16" s="43"/>
      <c r="C16" s="26"/>
      <c r="D16" s="26"/>
      <c r="E16" s="26"/>
      <c r="F16" s="26"/>
      <c r="G16" s="26"/>
      <c r="H16" s="26"/>
      <c r="I16" s="26"/>
      <c r="J16" s="43"/>
      <c r="K16" s="43"/>
    </row>
    <row r="17" ht="21.75" customHeight="1">
      <c r="A17" s="45"/>
      <c r="B17" s="46" t="s">
        <v>17</v>
      </c>
      <c r="F17" s="47" t="s">
        <v>18</v>
      </c>
      <c r="G17" s="47" t="s">
        <v>19</v>
      </c>
      <c r="H17" s="48" t="s">
        <v>20</v>
      </c>
      <c r="I17" s="47" t="s">
        <v>21</v>
      </c>
      <c r="J17" s="49" t="s">
        <v>22</v>
      </c>
      <c r="K17" s="26"/>
    </row>
    <row r="18" ht="19.5" customHeight="1">
      <c r="A18" s="44"/>
      <c r="B18" s="50" t="s">
        <v>23</v>
      </c>
      <c r="F18" s="51">
        <f t="shared" ref="F18:G18" si="1">F29</f>
        <v>48077</v>
      </c>
      <c r="G18" s="51">
        <f t="shared" si="1"/>
        <v>75833</v>
      </c>
      <c r="H18" s="51">
        <f>G18-F18</f>
        <v>27756</v>
      </c>
      <c r="I18" s="52">
        <f t="shared" ref="I18:I21" si="3">H18/F18</f>
        <v>0.5773238763</v>
      </c>
      <c r="J18" s="53"/>
      <c r="K18" s="26"/>
    </row>
    <row r="19" ht="19.5" customHeight="1">
      <c r="A19" s="44"/>
      <c r="B19" s="54" t="s">
        <v>24</v>
      </c>
      <c r="F19" s="55">
        <f t="shared" ref="F19:G19" si="2">F39</f>
        <v>16675</v>
      </c>
      <c r="G19" s="55">
        <f t="shared" si="2"/>
        <v>18056</v>
      </c>
      <c r="H19" s="55">
        <f t="shared" ref="H19:H20" si="5">F19-G19</f>
        <v>-1381</v>
      </c>
      <c r="I19" s="56">
        <f t="shared" si="3"/>
        <v>-0.0828185907</v>
      </c>
      <c r="J19" s="57" t="s">
        <v>25</v>
      </c>
      <c r="K19" s="43"/>
    </row>
    <row r="20" ht="19.5" customHeight="1">
      <c r="A20" s="44"/>
      <c r="B20" s="50" t="s">
        <v>26</v>
      </c>
      <c r="F20" s="51">
        <f t="shared" ref="F20:G20" si="4">F55</f>
        <v>18484</v>
      </c>
      <c r="G20" s="51">
        <f t="shared" si="4"/>
        <v>17459</v>
      </c>
      <c r="H20" s="51">
        <f t="shared" si="5"/>
        <v>1025</v>
      </c>
      <c r="I20" s="52">
        <f t="shared" si="3"/>
        <v>0.05545336507</v>
      </c>
      <c r="J20" s="58"/>
      <c r="K20" s="43"/>
    </row>
    <row r="21" ht="21.75" customHeight="1">
      <c r="A21" s="44"/>
      <c r="B21" s="54" t="s">
        <v>27</v>
      </c>
      <c r="F21" s="55">
        <f t="shared" ref="F21:G21" si="6">F68</f>
        <v>13082</v>
      </c>
      <c r="G21" s="55">
        <f t="shared" si="6"/>
        <v>41778</v>
      </c>
      <c r="H21" s="55">
        <f>G21-F21</f>
        <v>28696</v>
      </c>
      <c r="I21" s="56">
        <f t="shared" si="3"/>
        <v>2.193548387</v>
      </c>
      <c r="J21" s="59"/>
      <c r="K21" s="26"/>
    </row>
    <row r="22" ht="19.5" customHeight="1">
      <c r="A22" s="60"/>
      <c r="B22" s="61"/>
      <c r="C22" s="62"/>
      <c r="D22" s="62"/>
      <c r="E22" s="63"/>
      <c r="F22" s="64"/>
      <c r="G22" s="64"/>
      <c r="H22" s="64"/>
      <c r="I22" s="64"/>
      <c r="J22" s="65"/>
      <c r="K22" s="26"/>
    </row>
    <row r="23" ht="19.5" customHeight="1">
      <c r="A23" s="66"/>
      <c r="B23" s="67" t="s">
        <v>17</v>
      </c>
      <c r="F23" s="68" t="s">
        <v>18</v>
      </c>
      <c r="G23" s="68" t="s">
        <v>19</v>
      </c>
      <c r="H23" s="69" t="s">
        <v>20</v>
      </c>
      <c r="I23" s="68" t="s">
        <v>21</v>
      </c>
      <c r="J23" s="68" t="s">
        <v>22</v>
      </c>
      <c r="K23" s="70"/>
    </row>
    <row r="24">
      <c r="A24" s="45"/>
      <c r="B24" s="71" t="s">
        <v>23</v>
      </c>
      <c r="F24" s="72"/>
      <c r="G24" s="72"/>
      <c r="H24" s="72"/>
      <c r="I24" s="72"/>
      <c r="J24" s="73"/>
      <c r="K24" s="26"/>
    </row>
    <row r="25">
      <c r="A25" s="44"/>
      <c r="B25" s="74" t="s">
        <v>28</v>
      </c>
      <c r="F25" s="75">
        <v>50829.0</v>
      </c>
      <c r="G25" s="75">
        <v>78234.0</v>
      </c>
      <c r="H25" s="75">
        <f t="shared" ref="H25:H26" si="7">G25-F25</f>
        <v>27405</v>
      </c>
      <c r="I25" s="76">
        <f t="shared" ref="I25:I29" si="8">H25/F25</f>
        <v>0.5391607153</v>
      </c>
      <c r="J25" s="77"/>
      <c r="K25" s="26"/>
    </row>
    <row r="26">
      <c r="A26" s="44"/>
      <c r="B26" s="74" t="s">
        <v>29</v>
      </c>
      <c r="F26" s="75">
        <v>5485.0</v>
      </c>
      <c r="G26" s="75">
        <v>5523.0</v>
      </c>
      <c r="H26" s="75">
        <f t="shared" si="7"/>
        <v>38</v>
      </c>
      <c r="I26" s="76">
        <f t="shared" si="8"/>
        <v>0.006927985415</v>
      </c>
      <c r="J26" s="77"/>
      <c r="K26" s="26"/>
    </row>
    <row r="27">
      <c r="A27" s="44"/>
      <c r="B27" s="74" t="s">
        <v>30</v>
      </c>
      <c r="F27" s="75">
        <v>-4672.0</v>
      </c>
      <c r="G27" s="75">
        <v>-3265.0</v>
      </c>
      <c r="H27" s="75">
        <f t="shared" ref="H27:H28" si="9">F27-G27</f>
        <v>-1407</v>
      </c>
      <c r="I27" s="76">
        <f t="shared" si="8"/>
        <v>0.3011558219</v>
      </c>
      <c r="J27" s="77"/>
      <c r="K27" s="26"/>
    </row>
    <row r="28">
      <c r="A28" s="44"/>
      <c r="B28" s="74" t="s">
        <v>31</v>
      </c>
      <c r="F28" s="75">
        <v>-3565.0</v>
      </c>
      <c r="G28" s="75">
        <v>-4659.0</v>
      </c>
      <c r="H28" s="75">
        <f t="shared" si="9"/>
        <v>1094</v>
      </c>
      <c r="I28" s="76">
        <f t="shared" si="8"/>
        <v>-0.3068723703</v>
      </c>
      <c r="J28" s="77"/>
      <c r="K28" s="26"/>
    </row>
    <row r="29">
      <c r="A29" s="44"/>
      <c r="B29" s="78" t="str">
        <f>"TOTAL "&amp;B24</f>
        <v>TOTAL REVENUE</v>
      </c>
      <c r="F29" s="79">
        <f t="shared" ref="F29:G29" si="10">SUM(F25:F28)</f>
        <v>48077</v>
      </c>
      <c r="G29" s="79">
        <f t="shared" si="10"/>
        <v>75833</v>
      </c>
      <c r="H29" s="79">
        <f>G29-F29</f>
        <v>27756</v>
      </c>
      <c r="I29" s="80">
        <f t="shared" si="8"/>
        <v>0.5773238763</v>
      </c>
      <c r="J29" s="81"/>
      <c r="K29" s="26"/>
    </row>
    <row r="30" ht="11.25" customHeight="1">
      <c r="A30" s="44"/>
      <c r="B30" s="71"/>
      <c r="C30" s="71"/>
      <c r="D30" s="71"/>
      <c r="E30" s="71"/>
      <c r="F30" s="82"/>
      <c r="G30" s="82"/>
      <c r="H30" s="82"/>
      <c r="I30" s="83"/>
      <c r="J30" s="65"/>
      <c r="K30" s="26"/>
    </row>
    <row r="31" ht="21.0" customHeight="1">
      <c r="A31" s="44"/>
      <c r="B31" s="84" t="s">
        <v>24</v>
      </c>
      <c r="F31" s="85"/>
      <c r="G31" s="85"/>
      <c r="H31" s="85"/>
      <c r="I31" s="85"/>
      <c r="J31" s="86"/>
      <c r="K31" s="26"/>
    </row>
    <row r="32">
      <c r="A32" s="87"/>
      <c r="B32" s="74" t="s">
        <v>32</v>
      </c>
      <c r="F32" s="75">
        <v>9363.0</v>
      </c>
      <c r="G32" s="75">
        <v>2637.0</v>
      </c>
      <c r="H32" s="75">
        <f t="shared" ref="H32:H40" si="11">F32-G32</f>
        <v>6726</v>
      </c>
      <c r="I32" s="76">
        <f t="shared" ref="I32:I40" si="12">H32/F32</f>
        <v>0.7183595002</v>
      </c>
      <c r="J32" s="65"/>
      <c r="K32" s="26"/>
    </row>
    <row r="33">
      <c r="A33" s="87"/>
      <c r="B33" s="74" t="s">
        <v>33</v>
      </c>
      <c r="F33" s="75">
        <v>2710.0</v>
      </c>
      <c r="G33" s="75">
        <v>6253.0</v>
      </c>
      <c r="H33" s="75">
        <f t="shared" si="11"/>
        <v>-3543</v>
      </c>
      <c r="I33" s="76">
        <f t="shared" si="12"/>
        <v>-1.307380074</v>
      </c>
      <c r="J33" s="65"/>
      <c r="K33" s="26"/>
    </row>
    <row r="34">
      <c r="A34" s="87"/>
      <c r="B34" s="74" t="s">
        <v>34</v>
      </c>
      <c r="F34" s="75">
        <v>7373.0</v>
      </c>
      <c r="G34" s="75">
        <v>6651.0</v>
      </c>
      <c r="H34" s="75">
        <f t="shared" si="11"/>
        <v>722</v>
      </c>
      <c r="I34" s="76">
        <f t="shared" si="12"/>
        <v>0.09792486098</v>
      </c>
      <c r="J34" s="65"/>
      <c r="K34" s="26"/>
    </row>
    <row r="35">
      <c r="A35" s="87"/>
      <c r="B35" s="74" t="s">
        <v>35</v>
      </c>
      <c r="F35" s="75">
        <v>6967.0</v>
      </c>
      <c r="G35" s="75">
        <v>3589.0</v>
      </c>
      <c r="H35" s="75">
        <f t="shared" si="11"/>
        <v>3378</v>
      </c>
      <c r="I35" s="76">
        <f t="shared" si="12"/>
        <v>0.4848571839</v>
      </c>
      <c r="J35" s="65"/>
      <c r="K35" s="26"/>
    </row>
    <row r="36">
      <c r="A36" s="87"/>
      <c r="B36" s="88" t="s">
        <v>36</v>
      </c>
      <c r="F36" s="75">
        <v>7871.0</v>
      </c>
      <c r="G36" s="75">
        <v>3897.0</v>
      </c>
      <c r="H36" s="75">
        <f t="shared" si="11"/>
        <v>3974</v>
      </c>
      <c r="I36" s="76">
        <f t="shared" si="12"/>
        <v>0.5048913734</v>
      </c>
      <c r="J36" s="65"/>
      <c r="K36" s="26"/>
    </row>
    <row r="37">
      <c r="A37" s="44"/>
      <c r="B37" s="88" t="s">
        <v>37</v>
      </c>
      <c r="F37" s="75">
        <v>7009.0</v>
      </c>
      <c r="G37" s="75">
        <v>4611.0</v>
      </c>
      <c r="H37" s="75">
        <f t="shared" si="11"/>
        <v>2398</v>
      </c>
      <c r="I37" s="76">
        <f t="shared" si="12"/>
        <v>0.3421315452</v>
      </c>
      <c r="J37" s="65"/>
      <c r="K37" s="26"/>
    </row>
    <row r="38">
      <c r="A38" s="44"/>
      <c r="B38" s="88" t="s">
        <v>38</v>
      </c>
      <c r="F38" s="75">
        <v>1795.0</v>
      </c>
      <c r="G38" s="75">
        <v>9548.0</v>
      </c>
      <c r="H38" s="75">
        <f t="shared" si="11"/>
        <v>-7753</v>
      </c>
      <c r="I38" s="76">
        <f t="shared" si="12"/>
        <v>-4.319220056</v>
      </c>
      <c r="J38" s="65"/>
      <c r="K38" s="26"/>
    </row>
    <row r="39" ht="18.75" customHeight="1">
      <c r="A39" s="44"/>
      <c r="B39" s="78" t="str">
        <f>"TOTAL "&amp;B31</f>
        <v>TOTAL COST OF GOODS SOLD</v>
      </c>
      <c r="F39" s="79">
        <f t="shared" ref="F39:G39" si="13">SUM(F36:F38)</f>
        <v>16675</v>
      </c>
      <c r="G39" s="79">
        <f t="shared" si="13"/>
        <v>18056</v>
      </c>
      <c r="H39" s="79">
        <f t="shared" si="11"/>
        <v>-1381</v>
      </c>
      <c r="I39" s="80">
        <f t="shared" si="12"/>
        <v>-0.0828185907</v>
      </c>
      <c r="J39" s="81"/>
      <c r="K39" s="26"/>
    </row>
    <row r="40">
      <c r="A40" s="44"/>
      <c r="B40" s="89" t="s">
        <v>39</v>
      </c>
      <c r="F40" s="90">
        <f t="shared" ref="F40:G40" si="14">F29-F39</f>
        <v>31402</v>
      </c>
      <c r="G40" s="90">
        <f t="shared" si="14"/>
        <v>57777</v>
      </c>
      <c r="H40" s="90">
        <f t="shared" si="11"/>
        <v>-26375</v>
      </c>
      <c r="I40" s="91">
        <f t="shared" si="12"/>
        <v>-0.8399146551</v>
      </c>
      <c r="J40" s="92"/>
      <c r="K40" s="26"/>
    </row>
    <row r="41">
      <c r="A41" s="44"/>
      <c r="B41" s="71"/>
      <c r="C41" s="71"/>
      <c r="D41" s="71"/>
      <c r="E41" s="71"/>
      <c r="F41" s="82"/>
      <c r="G41" s="82"/>
      <c r="H41" s="82"/>
      <c r="I41" s="83"/>
      <c r="J41" s="65"/>
      <c r="K41" s="26"/>
    </row>
    <row r="42" ht="18.75" customHeight="1">
      <c r="A42" s="44"/>
      <c r="B42" s="93" t="s">
        <v>40</v>
      </c>
      <c r="F42" s="85"/>
      <c r="G42" s="85"/>
      <c r="H42" s="85"/>
      <c r="I42" s="85"/>
      <c r="J42" s="86"/>
      <c r="K42" s="26"/>
    </row>
    <row r="43">
      <c r="A43" s="87"/>
      <c r="B43" s="74" t="s">
        <v>41</v>
      </c>
      <c r="F43" s="75">
        <v>1516.0</v>
      </c>
      <c r="G43" s="75">
        <v>1513.0</v>
      </c>
      <c r="H43" s="75">
        <f t="shared" ref="H43:H56" si="15">F43-G43</f>
        <v>3</v>
      </c>
      <c r="I43" s="76">
        <f t="shared" ref="I43:I56" si="16">H43/F43</f>
        <v>0.001978891821</v>
      </c>
      <c r="J43" s="77"/>
      <c r="K43" s="26"/>
    </row>
    <row r="44">
      <c r="A44" s="87"/>
      <c r="B44" s="74" t="s">
        <v>42</v>
      </c>
      <c r="F44" s="75">
        <v>1854.0</v>
      </c>
      <c r="G44" s="75">
        <v>1806.0</v>
      </c>
      <c r="H44" s="75">
        <f t="shared" si="15"/>
        <v>48</v>
      </c>
      <c r="I44" s="76">
        <f t="shared" si="16"/>
        <v>0.02588996764</v>
      </c>
      <c r="J44" s="77"/>
      <c r="K44" s="26"/>
    </row>
    <row r="45">
      <c r="A45" s="87"/>
      <c r="B45" s="74" t="s">
        <v>43</v>
      </c>
      <c r="F45" s="75">
        <v>1798.0</v>
      </c>
      <c r="G45" s="75">
        <v>1197.0</v>
      </c>
      <c r="H45" s="75">
        <f t="shared" si="15"/>
        <v>601</v>
      </c>
      <c r="I45" s="76">
        <f t="shared" si="16"/>
        <v>0.3342602892</v>
      </c>
      <c r="J45" s="77"/>
      <c r="K45" s="26"/>
    </row>
    <row r="46">
      <c r="A46" s="87"/>
      <c r="B46" s="74" t="s">
        <v>44</v>
      </c>
      <c r="F46" s="75">
        <v>1049.0</v>
      </c>
      <c r="G46" s="75">
        <v>1004.0</v>
      </c>
      <c r="H46" s="75">
        <f t="shared" si="15"/>
        <v>45</v>
      </c>
      <c r="I46" s="76">
        <f t="shared" si="16"/>
        <v>0.04289799809</v>
      </c>
      <c r="J46" s="77"/>
      <c r="K46" s="26"/>
    </row>
    <row r="47">
      <c r="A47" s="87"/>
      <c r="B47" s="74" t="s">
        <v>45</v>
      </c>
      <c r="F47" s="75">
        <v>1395.0</v>
      </c>
      <c r="G47" s="75">
        <v>1904.0</v>
      </c>
      <c r="H47" s="75">
        <f t="shared" si="15"/>
        <v>-509</v>
      </c>
      <c r="I47" s="76">
        <f t="shared" si="16"/>
        <v>-0.364874552</v>
      </c>
      <c r="J47" s="74" t="s">
        <v>46</v>
      </c>
      <c r="K47" s="26"/>
    </row>
    <row r="48">
      <c r="A48" s="87"/>
      <c r="B48" s="74" t="s">
        <v>47</v>
      </c>
      <c r="F48" s="75">
        <v>1439.0</v>
      </c>
      <c r="G48" s="75">
        <v>1069.0</v>
      </c>
      <c r="H48" s="75">
        <f t="shared" si="15"/>
        <v>370</v>
      </c>
      <c r="I48" s="76">
        <f t="shared" si="16"/>
        <v>0.2571230021</v>
      </c>
      <c r="J48" s="77"/>
      <c r="K48" s="26"/>
    </row>
    <row r="49">
      <c r="A49" s="87"/>
      <c r="B49" s="74" t="s">
        <v>48</v>
      </c>
      <c r="F49" s="75">
        <v>1913.0</v>
      </c>
      <c r="G49" s="75">
        <v>1238.0</v>
      </c>
      <c r="H49" s="75">
        <f t="shared" si="15"/>
        <v>675</v>
      </c>
      <c r="I49" s="76">
        <f t="shared" si="16"/>
        <v>0.3528489284</v>
      </c>
      <c r="J49" s="77"/>
      <c r="K49" s="26"/>
    </row>
    <row r="50">
      <c r="A50" s="87"/>
      <c r="B50" s="74" t="s">
        <v>49</v>
      </c>
      <c r="F50" s="75">
        <v>1349.0</v>
      </c>
      <c r="G50" s="75">
        <v>1197.0</v>
      </c>
      <c r="H50" s="75">
        <f t="shared" si="15"/>
        <v>152</v>
      </c>
      <c r="I50" s="76">
        <f t="shared" si="16"/>
        <v>0.1126760563</v>
      </c>
      <c r="J50" s="77"/>
      <c r="K50" s="26"/>
    </row>
    <row r="51">
      <c r="A51" s="87"/>
      <c r="B51" s="74" t="s">
        <v>50</v>
      </c>
      <c r="F51" s="75">
        <v>1123.0</v>
      </c>
      <c r="G51" s="75">
        <v>1846.0</v>
      </c>
      <c r="H51" s="75">
        <f t="shared" si="15"/>
        <v>-723</v>
      </c>
      <c r="I51" s="76">
        <f t="shared" si="16"/>
        <v>-0.6438112199</v>
      </c>
      <c r="J51" s="74" t="s">
        <v>51</v>
      </c>
      <c r="K51" s="26"/>
    </row>
    <row r="52">
      <c r="A52" s="87"/>
      <c r="B52" s="74" t="s">
        <v>52</v>
      </c>
      <c r="F52" s="75">
        <v>1489.0</v>
      </c>
      <c r="G52" s="75">
        <v>1063.0</v>
      </c>
      <c r="H52" s="75">
        <f t="shared" si="15"/>
        <v>426</v>
      </c>
      <c r="I52" s="76">
        <f t="shared" si="16"/>
        <v>0.2860980524</v>
      </c>
      <c r="J52" s="77"/>
      <c r="K52" s="26"/>
    </row>
    <row r="53">
      <c r="A53" s="87"/>
      <c r="B53" s="74" t="s">
        <v>53</v>
      </c>
      <c r="F53" s="75">
        <v>1694.0</v>
      </c>
      <c r="G53" s="75">
        <v>1846.0</v>
      </c>
      <c r="H53" s="75">
        <f t="shared" si="15"/>
        <v>-152</v>
      </c>
      <c r="I53" s="76">
        <f t="shared" si="16"/>
        <v>-0.08972845336</v>
      </c>
      <c r="J53" s="77"/>
      <c r="K53" s="26"/>
    </row>
    <row r="54">
      <c r="A54" s="87"/>
      <c r="B54" s="74" t="s">
        <v>54</v>
      </c>
      <c r="F54" s="75">
        <v>1865.0</v>
      </c>
      <c r="G54" s="75">
        <v>1776.0</v>
      </c>
      <c r="H54" s="75">
        <f t="shared" si="15"/>
        <v>89</v>
      </c>
      <c r="I54" s="76">
        <f t="shared" si="16"/>
        <v>0.04772117962</v>
      </c>
      <c r="J54" s="77"/>
      <c r="K54" s="26"/>
    </row>
    <row r="55">
      <c r="A55" s="44"/>
      <c r="B55" s="78" t="str">
        <f>"TOTAL "&amp;B42</f>
        <v>TOTAL EXPENSES</v>
      </c>
      <c r="F55" s="79">
        <f t="shared" ref="F55:G55" si="17">SUM(F43:F54)</f>
        <v>18484</v>
      </c>
      <c r="G55" s="79">
        <f t="shared" si="17"/>
        <v>17459</v>
      </c>
      <c r="H55" s="79">
        <f t="shared" si="15"/>
        <v>1025</v>
      </c>
      <c r="I55" s="80">
        <f t="shared" si="16"/>
        <v>0.05545336507</v>
      </c>
      <c r="J55" s="81"/>
      <c r="K55" s="26"/>
    </row>
    <row r="56">
      <c r="A56" s="94"/>
      <c r="B56" s="89" t="s">
        <v>55</v>
      </c>
      <c r="F56" s="90">
        <f t="shared" ref="F56:G56" si="18">F40-F55</f>
        <v>12918</v>
      </c>
      <c r="G56" s="90">
        <f t="shared" si="18"/>
        <v>40318</v>
      </c>
      <c r="H56" s="90">
        <f t="shared" si="15"/>
        <v>-27400</v>
      </c>
      <c r="I56" s="91">
        <f t="shared" si="16"/>
        <v>-2.121071373</v>
      </c>
      <c r="J56" s="92"/>
      <c r="K56" s="95"/>
    </row>
    <row r="57">
      <c r="A57" s="94"/>
      <c r="B57" s="96"/>
      <c r="C57" s="96"/>
      <c r="D57" s="96"/>
      <c r="E57" s="96"/>
      <c r="F57" s="72"/>
      <c r="G57" s="72"/>
      <c r="H57" s="72"/>
      <c r="I57" s="72"/>
      <c r="J57" s="73"/>
      <c r="K57" s="95"/>
    </row>
    <row r="58" ht="18.75" customHeight="1">
      <c r="A58" s="94"/>
      <c r="B58" s="93" t="s">
        <v>56</v>
      </c>
      <c r="F58" s="85"/>
      <c r="G58" s="85"/>
      <c r="H58" s="85"/>
      <c r="I58" s="85"/>
      <c r="J58" s="86"/>
      <c r="K58" s="95"/>
    </row>
    <row r="59">
      <c r="A59" s="94"/>
      <c r="B59" s="74" t="s">
        <v>57</v>
      </c>
      <c r="F59" s="75">
        <v>1679.0</v>
      </c>
      <c r="G59" s="75">
        <v>2180.0</v>
      </c>
      <c r="H59" s="75">
        <f t="shared" ref="H59:H61" si="19">G59-F59</f>
        <v>501</v>
      </c>
      <c r="I59" s="76">
        <f t="shared" ref="I59:I61" si="20">H59/F59</f>
        <v>0.2983918999</v>
      </c>
      <c r="J59" s="77"/>
      <c r="K59" s="95"/>
    </row>
    <row r="60">
      <c r="A60" s="94"/>
      <c r="B60" s="74" t="s">
        <v>58</v>
      </c>
      <c r="F60" s="75">
        <v>1723.0</v>
      </c>
      <c r="G60" s="75">
        <v>2355.0</v>
      </c>
      <c r="H60" s="75">
        <f t="shared" si="19"/>
        <v>632</v>
      </c>
      <c r="I60" s="76">
        <f t="shared" si="20"/>
        <v>0.3668020894</v>
      </c>
      <c r="J60" s="77"/>
      <c r="K60" s="95"/>
    </row>
    <row r="61">
      <c r="A61" s="94"/>
      <c r="B61" s="78" t="str">
        <f>"TOTAL "&amp;B58</f>
        <v>TOTAL OTHER INCOME</v>
      </c>
      <c r="F61" s="79">
        <f t="shared" ref="F61:G61" si="21">SUM(F59:F60)</f>
        <v>3402</v>
      </c>
      <c r="G61" s="79">
        <f t="shared" si="21"/>
        <v>4535</v>
      </c>
      <c r="H61" s="79">
        <f t="shared" si="19"/>
        <v>1133</v>
      </c>
      <c r="I61" s="80">
        <f t="shared" si="20"/>
        <v>0.3330393886</v>
      </c>
      <c r="J61" s="81"/>
      <c r="K61" s="95"/>
    </row>
    <row r="62">
      <c r="A62" s="94"/>
      <c r="B62" s="71"/>
      <c r="C62" s="71"/>
      <c r="D62" s="71"/>
      <c r="E62" s="71"/>
      <c r="F62" s="82"/>
      <c r="G62" s="82"/>
      <c r="H62" s="82"/>
      <c r="I62" s="83"/>
      <c r="J62" s="97"/>
      <c r="K62" s="95"/>
    </row>
    <row r="63" ht="19.5" customHeight="1">
      <c r="A63" s="94"/>
      <c r="B63" s="93" t="s">
        <v>59</v>
      </c>
      <c r="F63" s="85"/>
      <c r="G63" s="85"/>
      <c r="H63" s="85"/>
      <c r="I63" s="85"/>
      <c r="J63" s="86"/>
      <c r="K63" s="95"/>
    </row>
    <row r="64">
      <c r="A64" s="94"/>
      <c r="B64" s="74" t="s">
        <v>60</v>
      </c>
      <c r="F64" s="75">
        <v>1521.0</v>
      </c>
      <c r="G64" s="75">
        <v>1732.0</v>
      </c>
      <c r="H64" s="75">
        <f t="shared" ref="H64:H66" si="22">F64-G64</f>
        <v>-211</v>
      </c>
      <c r="I64" s="76">
        <f t="shared" ref="I64:I68" si="23">H64/F64</f>
        <v>-0.1387245233</v>
      </c>
      <c r="J64" s="77"/>
      <c r="K64" s="95"/>
    </row>
    <row r="65">
      <c r="A65" s="94"/>
      <c r="B65" s="74" t="s">
        <v>61</v>
      </c>
      <c r="F65" s="75">
        <v>1717.0</v>
      </c>
      <c r="G65" s="75">
        <v>1343.0</v>
      </c>
      <c r="H65" s="75">
        <f t="shared" si="22"/>
        <v>374</v>
      </c>
      <c r="I65" s="76">
        <f t="shared" si="23"/>
        <v>0.2178217822</v>
      </c>
      <c r="J65" s="77"/>
      <c r="K65" s="95"/>
    </row>
    <row r="66">
      <c r="A66" s="94"/>
      <c r="B66" s="78" t="str">
        <f>"TOTAL "&amp;B63</f>
        <v>TOTAL OTHER EXPENSES</v>
      </c>
      <c r="F66" s="79">
        <f t="shared" ref="F66:G66" si="24">SUM(F64:F65)</f>
        <v>3238</v>
      </c>
      <c r="G66" s="79">
        <f t="shared" si="24"/>
        <v>3075</v>
      </c>
      <c r="H66" s="79">
        <f t="shared" si="22"/>
        <v>163</v>
      </c>
      <c r="I66" s="80">
        <f t="shared" si="23"/>
        <v>0.05033971587</v>
      </c>
      <c r="J66" s="81"/>
      <c r="K66" s="95"/>
    </row>
    <row r="67">
      <c r="A67" s="94"/>
      <c r="B67" s="98" t="s">
        <v>62</v>
      </c>
      <c r="F67" s="90">
        <f t="shared" ref="F67:G67" si="25">F61-F66</f>
        <v>164</v>
      </c>
      <c r="G67" s="90">
        <f t="shared" si="25"/>
        <v>1460</v>
      </c>
      <c r="H67" s="90">
        <f t="shared" ref="H67:H68" si="27">G67-F67</f>
        <v>1296</v>
      </c>
      <c r="I67" s="91">
        <f t="shared" si="23"/>
        <v>7.902439024</v>
      </c>
      <c r="J67" s="92"/>
      <c r="K67" s="95"/>
    </row>
    <row r="68">
      <c r="A68" s="94"/>
      <c r="B68" s="99" t="s">
        <v>63</v>
      </c>
      <c r="F68" s="100">
        <f t="shared" ref="F68:G68" si="26">F56+F67</f>
        <v>13082</v>
      </c>
      <c r="G68" s="100">
        <f t="shared" si="26"/>
        <v>41778</v>
      </c>
      <c r="H68" s="100">
        <f t="shared" si="27"/>
        <v>28696</v>
      </c>
      <c r="I68" s="101">
        <f t="shared" si="23"/>
        <v>2.193548387</v>
      </c>
      <c r="J68" s="102"/>
      <c r="K68" s="95"/>
    </row>
    <row r="69">
      <c r="A69" s="44"/>
      <c r="B69" s="43"/>
      <c r="C69" s="71"/>
      <c r="D69" s="71"/>
      <c r="E69" s="71"/>
      <c r="F69" s="82"/>
      <c r="G69" s="82"/>
      <c r="H69" s="82"/>
      <c r="I69" s="82"/>
      <c r="J69" s="43"/>
      <c r="K69" s="43"/>
    </row>
  </sheetData>
  <mergeCells count="50">
    <mergeCell ref="B2:C3"/>
    <mergeCell ref="D2:G3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60:E60"/>
    <mergeCell ref="B61:E61"/>
    <mergeCell ref="B63:E63"/>
    <mergeCell ref="B64:E64"/>
    <mergeCell ref="B65:E65"/>
    <mergeCell ref="B66:E66"/>
    <mergeCell ref="B67:E67"/>
    <mergeCell ref="B68:E68"/>
    <mergeCell ref="B52:E52"/>
    <mergeCell ref="B53:E53"/>
    <mergeCell ref="B54:E54"/>
    <mergeCell ref="B55:E55"/>
    <mergeCell ref="B56:E56"/>
    <mergeCell ref="B58:E58"/>
    <mergeCell ref="B59:E59"/>
  </mergeCells>
  <conditionalFormatting sqref="F1:I69 J2:J3 J23:J29 J31 J39:J40 J42:J68">
    <cfRule type="cellIs" dxfId="1" priority="1" operator="lessThan">
      <formula>0</formula>
    </cfRule>
  </conditionalFormatting>
  <conditionalFormatting sqref="F18:I21">
    <cfRule type="cellIs" dxfId="1" priority="2" operator="lessThan">
      <formula>0</formula>
    </cfRule>
  </conditionalFormatting>
  <conditionalFormatting sqref="F19:I20">
    <cfRule type="cellIs" dxfId="1" priority="3" operator="lessThan">
      <formula>0</formula>
    </cfRule>
  </conditionalFormatting>
  <conditionalFormatting sqref="F21:I21">
    <cfRule type="cellIs" dxfId="1" priority="4" operator="lessThan">
      <formula>0</formula>
    </cfRule>
  </conditionalFormatting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6.63"/>
    <col customWidth="1" min="3" max="3" width="40.5"/>
    <col customWidth="1" min="4" max="4" width="10.38"/>
    <col customWidth="1" min="5" max="5" width="4.38"/>
    <col customWidth="1" min="6" max="6" width="7.13"/>
    <col customWidth="1" min="7" max="7" width="47.63"/>
    <col customWidth="1" min="8" max="8" width="5.13"/>
    <col customWidth="1" min="9" max="9" width="4.25"/>
    <col customWidth="1" min="10" max="10" width="6.38"/>
    <col customWidth="1" min="11" max="11" width="39.5"/>
    <col customWidth="1" min="12" max="12" width="2.5"/>
  </cols>
  <sheetData>
    <row r="1" ht="15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ht="49.5" customHeight="1">
      <c r="A2" s="1"/>
      <c r="B2" s="2"/>
      <c r="C2" s="3"/>
      <c r="D2" s="4"/>
      <c r="E2" s="3"/>
      <c r="F2" s="4"/>
      <c r="G2" s="3"/>
      <c r="H2" s="5"/>
    </row>
    <row r="3" ht="60.0" customHeight="1">
      <c r="A3" s="6"/>
      <c r="B3" s="7"/>
      <c r="C3" s="8"/>
      <c r="D3" s="9"/>
      <c r="E3" s="9"/>
      <c r="F3" s="10"/>
      <c r="G3" s="9"/>
    </row>
    <row r="4" ht="60.0" customHeight="1">
      <c r="A4" s="6"/>
      <c r="B4" s="7"/>
      <c r="C4" s="8"/>
      <c r="D4" s="9"/>
      <c r="E4" s="9"/>
      <c r="F4" s="10"/>
      <c r="G4" s="9"/>
      <c r="H4" s="5"/>
      <c r="I4" s="5"/>
      <c r="J4" s="5"/>
      <c r="K4" s="5"/>
      <c r="L4" s="5"/>
    </row>
    <row r="5" ht="60.0" customHeight="1">
      <c r="A5" s="6"/>
      <c r="B5" s="7"/>
      <c r="C5" s="8"/>
      <c r="D5" s="9"/>
      <c r="E5" s="9"/>
      <c r="F5" s="10"/>
      <c r="G5" s="9"/>
      <c r="H5" s="5"/>
      <c r="I5" s="5"/>
      <c r="J5" s="5"/>
      <c r="K5" s="5"/>
      <c r="L5" s="5"/>
    </row>
    <row r="6" ht="38.25" customHeight="1">
      <c r="A6" s="6"/>
      <c r="B6" s="7"/>
      <c r="C6" s="8"/>
      <c r="D6" s="9"/>
      <c r="E6" s="9"/>
      <c r="F6" s="10"/>
      <c r="G6" s="9"/>
      <c r="H6" s="5"/>
      <c r="I6" s="5"/>
      <c r="J6" s="5"/>
      <c r="K6" s="5"/>
      <c r="L6" s="5"/>
    </row>
    <row r="7" ht="64.5" customHeight="1">
      <c r="A7" s="11"/>
      <c r="B7" s="12" t="s">
        <v>0</v>
      </c>
      <c r="C7" s="13" t="s">
        <v>1</v>
      </c>
      <c r="D7" s="11"/>
      <c r="E7" s="11"/>
      <c r="F7" s="12" t="s">
        <v>2</v>
      </c>
      <c r="G7" s="14" t="s">
        <v>3</v>
      </c>
      <c r="H7" s="11"/>
      <c r="I7" s="11"/>
      <c r="J7" s="12" t="s">
        <v>4</v>
      </c>
      <c r="K7" s="13" t="s">
        <v>5</v>
      </c>
      <c r="L7" s="11"/>
    </row>
    <row r="8" ht="76.5" customHeight="1">
      <c r="A8" s="11"/>
      <c r="B8" s="15"/>
      <c r="C8" s="16"/>
      <c r="D8" s="17" t="s">
        <v>6</v>
      </c>
      <c r="E8" s="18"/>
      <c r="F8" s="15"/>
      <c r="G8" s="19" t="s">
        <v>7</v>
      </c>
      <c r="H8" s="11"/>
      <c r="I8" s="11"/>
      <c r="J8" s="15"/>
      <c r="K8" s="20" t="s">
        <v>8</v>
      </c>
      <c r="L8" s="11"/>
    </row>
    <row r="9" ht="55.5" customHeight="1">
      <c r="A9" s="11"/>
      <c r="B9" s="15"/>
      <c r="C9" s="21" t="s">
        <v>9</v>
      </c>
      <c r="D9" s="11"/>
      <c r="E9" s="11"/>
      <c r="F9" s="15"/>
      <c r="H9" s="11"/>
      <c r="I9" s="11"/>
      <c r="J9" s="15"/>
      <c r="L9" s="11"/>
    </row>
    <row r="10" ht="18.0" customHeight="1">
      <c r="A10" s="11"/>
      <c r="B10" s="15"/>
      <c r="C10" s="22"/>
      <c r="D10" s="11"/>
      <c r="E10" s="11"/>
      <c r="F10" s="15"/>
      <c r="G10" s="23"/>
      <c r="H10" s="11"/>
      <c r="I10" s="11"/>
      <c r="J10" s="11"/>
      <c r="K10" s="11"/>
      <c r="L10" s="11"/>
    </row>
    <row r="11" ht="30.75" customHeight="1">
      <c r="A11" s="11"/>
      <c r="B11" s="15"/>
      <c r="C11" s="24" t="s">
        <v>10</v>
      </c>
      <c r="D11" s="11"/>
      <c r="E11" s="11"/>
      <c r="F11" s="15"/>
      <c r="G11" s="23"/>
      <c r="H11" s="11"/>
      <c r="I11" s="11"/>
      <c r="J11" s="11"/>
      <c r="K11" s="11"/>
      <c r="L11" s="11"/>
    </row>
    <row r="12" ht="17.25" customHeight="1">
      <c r="A12" s="11"/>
      <c r="B12" s="15"/>
      <c r="C12" s="22"/>
      <c r="D12" s="11"/>
      <c r="E12" s="11"/>
      <c r="F12" s="15"/>
      <c r="G12" s="23"/>
      <c r="H12" s="11"/>
      <c r="I12" s="11"/>
      <c r="J12" s="11"/>
      <c r="K12" s="11"/>
      <c r="L12" s="11"/>
    </row>
    <row r="13" ht="26.25" customHeight="1">
      <c r="A13" s="11"/>
      <c r="B13" s="15"/>
      <c r="C13" s="25" t="s">
        <v>11</v>
      </c>
      <c r="D13" s="11"/>
      <c r="E13" s="11"/>
      <c r="F13" s="15"/>
      <c r="G13" s="23"/>
      <c r="H13" s="11"/>
      <c r="I13" s="11"/>
      <c r="J13" s="11"/>
      <c r="K13" s="11"/>
      <c r="L13" s="11"/>
    </row>
    <row r="14" ht="41.25" customHeight="1">
      <c r="A14" s="26"/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hidden="1">
      <c r="A15" s="28"/>
      <c r="B15" s="29" t="str">
        <f>_coeffs_ok()</f>
        <v>OK</v>
      </c>
      <c r="C15" s="30" t="str">
        <f>IFERROR(__xludf.DUMMYFUNCTION("IMPORTRANGE(""https://docs.google.com/spreadsheets/d/1qFNrgBSxxEQBx4sdMB8uzwFvvIRsUBuGfUwyQgqeRN4/edit#gid=1503868715"",""A1"")"),"Date")</f>
        <v>Date</v>
      </c>
      <c r="D15" s="28"/>
      <c r="E15" s="31" t="b">
        <v>1</v>
      </c>
      <c r="F15" s="28"/>
      <c r="G15" s="31" t="s">
        <v>12</v>
      </c>
      <c r="H15" s="28" t="b">
        <f>IFERROR(__xludf.DUMMYFUNCTION("and(iferror(ERROR.TYPE(_COEFFs_ok())=5,false),iferror(ERROR.TYPE(IMPORTRANGE(""https://docs.google.com/spreadsheets/d/1qFNrgBSxxEQBx4sdMB8uzwFvvIRsUBuGfUwyQgqeRN4/edit#gid=1503868715"",""A1""))=4,false))"),FALSE)</f>
        <v>0</v>
      </c>
      <c r="I15" s="31"/>
      <c r="J15" s="31"/>
      <c r="K15" s="28"/>
      <c r="L15" s="28"/>
    </row>
  </sheetData>
  <mergeCells count="3">
    <mergeCell ref="H2:L3"/>
    <mergeCell ref="G8:G9"/>
    <mergeCell ref="K8:K9"/>
  </mergeCells>
  <hyperlinks>
    <hyperlink r:id="rId1" ref="C11"/>
    <hyperlink r:id="rId2" ref="C13"/>
  </hyperlinks>
  <drawing r:id="rId3"/>
</worksheet>
</file>