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ransactions" sheetId="2" r:id="rId5"/>
    <sheet state="visible" name="Dashboard" sheetId="3" r:id="rId6"/>
    <sheet state="visible" name="Profit &amp; Loss" sheetId="4" r:id="rId7"/>
    <sheet state="visible" name="Categories" sheetId="5" r:id="rId8"/>
    <sheet state="visible" name="Balance Sheet" sheetId="6" r:id="rId9"/>
  </sheets>
  <definedNames/>
  <calcPr/>
</workbook>
</file>

<file path=xl/sharedStrings.xml><?xml version="1.0" encoding="utf-8"?>
<sst xmlns="http://schemas.openxmlformats.org/spreadsheetml/2006/main" count="156" uniqueCount="124">
  <si>
    <t>Instructions</t>
  </si>
  <si>
    <t>Information on how to get started using this template.</t>
  </si>
  <si>
    <t>How to use this template</t>
  </si>
  <si>
    <t>Profit &amp; Loss</t>
  </si>
  <si>
    <t>1.</t>
  </si>
  <si>
    <t>This sheet automatically summarizes revenues, costs, and expenses for the provided year based on the transactions listed in the "Transactions" sheet. Optionally, specify a growth rate percentage to create a projected Profit &amp; Loss statement. 
Select cell F4 to choose the first month of your financial year. The rest of the dates will update.</t>
  </si>
  <si>
    <t>Start on the "Transactions" sheet by removing the sample transactions and enter your business transactions . After you have entered your transactions, place the transaction in the appropriate category.</t>
  </si>
  <si>
    <t>Transactions</t>
  </si>
  <si>
    <t>2.</t>
  </si>
  <si>
    <t>The "Dashboard" and "Profit &amp; Loss" sheets will automatically update based on the transactions.</t>
  </si>
  <si>
    <t>3.</t>
  </si>
  <si>
    <t>If you want to change any of the categories, you can change them on the "Categories" sheet.</t>
  </si>
  <si>
    <t>20YY</t>
  </si>
  <si>
    <t>Enter transactions below. Transactions that you spent money on and Cost of Goods Sold should be a negative amount. Any money received should be a positive amount. After you have entered the Date, Description and Amount, select the appropriate category for the transaction.</t>
  </si>
  <si>
    <t>4.</t>
  </si>
  <si>
    <t xml:space="preserve">If you want to add new categories on the "Categories" sheet, first add a new row below the last one in that category type, type in the category name and select the category type from the drop down menu. Then go to the "Profit and Loss" sheet, select the row that shows #REF! and insert a new row below it. All the categories, including the new one will now show up. Your new category will now also be visible on the "Transactions" sheet. </t>
  </si>
  <si>
    <t>5.</t>
  </si>
  <si>
    <t>January</t>
  </si>
  <si>
    <t>Category</t>
  </si>
  <si>
    <t>To create a balance sheet, enter values in the shaded boxes on the "Balance Sheet".</t>
  </si>
  <si>
    <t>Date</t>
  </si>
  <si>
    <t>Description</t>
  </si>
  <si>
    <t>Amount</t>
  </si>
  <si>
    <t xml:space="preserve">Sales </t>
  </si>
  <si>
    <t>Consulting fees earned for project</t>
  </si>
  <si>
    <t>Categories</t>
  </si>
  <si>
    <t>Use this sheet to define expense, cost, and revenue categories. These categories are used to populate other sheets in this spreadsheet.</t>
  </si>
  <si>
    <t>Total YTD</t>
  </si>
  <si>
    <t>Travel</t>
  </si>
  <si>
    <t>Hotel reservation for trip in April</t>
  </si>
  <si>
    <t>Category Name</t>
  </si>
  <si>
    <t>Growth Rate</t>
  </si>
  <si>
    <t>Category Type</t>
  </si>
  <si>
    <t>Projected</t>
  </si>
  <si>
    <t>Fees earned for design project</t>
  </si>
  <si>
    <t>Income</t>
  </si>
  <si>
    <t>Advertising</t>
  </si>
  <si>
    <t>Repairs</t>
  </si>
  <si>
    <t>Printer repair costs</t>
  </si>
  <si>
    <t>Expenses</t>
  </si>
  <si>
    <t>Office Supplies</t>
  </si>
  <si>
    <t>Progress fees earned for project</t>
  </si>
  <si>
    <t>Car/Truck</t>
  </si>
  <si>
    <t>Insurance</t>
  </si>
  <si>
    <t>Rent-Car/Equipment</t>
  </si>
  <si>
    <t>Legal Expenses</t>
  </si>
  <si>
    <t>Contractors</t>
  </si>
  <si>
    <t>Meals &amp; Entertainment</t>
  </si>
  <si>
    <t>Utilities</t>
  </si>
  <si>
    <t>Revenue</t>
  </si>
  <si>
    <t>Rent</t>
  </si>
  <si>
    <t>Loan Expenses</t>
  </si>
  <si>
    <t>Taxes and Licenses</t>
  </si>
  <si>
    <t>Other Expenses</t>
  </si>
  <si>
    <t>Custom Expense 1</t>
  </si>
  <si>
    <t>Custom Expense 2</t>
  </si>
  <si>
    <t>Custom Expense 3</t>
  </si>
  <si>
    <t>Cost of Goods Sold</t>
  </si>
  <si>
    <t>Custom COGS 1</t>
  </si>
  <si>
    <t>Custom COGS 2</t>
  </si>
  <si>
    <t>Custom Sales 1</t>
  </si>
  <si>
    <t>Custom Sales 2</t>
  </si>
  <si>
    <t>As of</t>
  </si>
  <si>
    <t>Balance Sheet</t>
  </si>
  <si>
    <t>DD/MM/YYYY</t>
  </si>
  <si>
    <t>This sheet lists assets and liabilities. Enter values in the shaded cells below.</t>
  </si>
  <si>
    <t>Assets</t>
  </si>
  <si>
    <t>Cash and Cash Equivalents</t>
  </si>
  <si>
    <t>Checking Accounts</t>
  </si>
  <si>
    <t>Saving Accounts</t>
  </si>
  <si>
    <t>Total Cash</t>
  </si>
  <si>
    <t>Current Assets</t>
  </si>
  <si>
    <t>Accounts Receivable (net)</t>
  </si>
  <si>
    <t xml:space="preserve">Inventory </t>
  </si>
  <si>
    <t>Prepayments</t>
  </si>
  <si>
    <t>Total Current Assets</t>
  </si>
  <si>
    <t>Property, Plant and Equipment</t>
  </si>
  <si>
    <t>Vehicles (net)</t>
  </si>
  <si>
    <t>Furniture &amp; Fixtures (net)</t>
  </si>
  <si>
    <t>Equipment (net)</t>
  </si>
  <si>
    <t>Buildings (net)</t>
  </si>
  <si>
    <t>Land</t>
  </si>
  <si>
    <t>Total Property, Plant and Equipment</t>
  </si>
  <si>
    <t>Other Assets</t>
  </si>
  <si>
    <t>Total Other Assets</t>
  </si>
  <si>
    <t>Total assets</t>
  </si>
  <si>
    <t>Liabilities and Owner's Equity</t>
  </si>
  <si>
    <t>Current Liabilities</t>
  </si>
  <si>
    <t>Accounts payable</t>
  </si>
  <si>
    <t>Notes payable</t>
  </si>
  <si>
    <t>Other Current Liabilities</t>
  </si>
  <si>
    <t>Total Current Liabilities</t>
  </si>
  <si>
    <t>Non-Current Liabilities</t>
  </si>
  <si>
    <t>Long-term Notes Payable</t>
  </si>
  <si>
    <t>Loans</t>
  </si>
  <si>
    <t>Other Non-Current Liabilities</t>
  </si>
  <si>
    <t>Total Non-Current Liabilities</t>
  </si>
  <si>
    <t>Total liabilities</t>
  </si>
  <si>
    <t>Owners' equity</t>
  </si>
  <si>
    <t>Capital Stock</t>
  </si>
  <si>
    <t>Retained Earnings</t>
  </si>
  <si>
    <t>Other</t>
  </si>
  <si>
    <t>Total owners' equity</t>
  </si>
  <si>
    <t>Total liabilities and equity</t>
  </si>
  <si>
    <t>Balance check (should be Zero)</t>
  </si>
  <si>
    <t>Total sales</t>
  </si>
  <si>
    <t>Cost of sales</t>
  </si>
  <si>
    <t xml:space="preserve">Dashboard </t>
  </si>
  <si>
    <t>Automatically updated based on data in the "Transactions" sheet.</t>
  </si>
  <si>
    <t>Sales YTD</t>
  </si>
  <si>
    <t>Total Profit (Loss) YTD</t>
  </si>
  <si>
    <t>Data used for chart. Do not edit.</t>
  </si>
  <si>
    <t>Month</t>
  </si>
  <si>
    <t>Profit (Loss)</t>
  </si>
  <si>
    <t>3 Highest Sales Months</t>
  </si>
  <si>
    <t>3 Lowest Sales Months</t>
  </si>
  <si>
    <t>-</t>
  </si>
  <si>
    <t>3 Most Profitable Months</t>
  </si>
  <si>
    <t>3 Least Profitable Months</t>
  </si>
  <si>
    <t>3 Highest Expenses YTD</t>
  </si>
  <si>
    <t>Total cost of sales</t>
  </si>
  <si>
    <t>Gross Margin</t>
  </si>
  <si>
    <t>Total expenses</t>
  </si>
  <si>
    <t>Total Profit (Loss)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</si>
</sst>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mmm"/>
    <numFmt numFmtId="166" formatCode="[$£-809]#,##0.00"/>
    <numFmt numFmtId="167" formatCode="#,###;(#,###);-"/>
    <numFmt numFmtId="168" formatCode="M/d/yyyy"/>
    <numFmt numFmtId="169" formatCode="&quot;$&quot;#,##0.00"/>
    <numFmt numFmtId="170" formatCode="#,##0;(#,##0)"/>
    <numFmt numFmtId="171" formatCode="#,##0.00;(#,##0.00)"/>
  </numFmts>
  <fonts count="63">
    <font>
      <sz val="10.0"/>
      <color rgb="FF000000"/>
      <name val="Arial"/>
    </font>
    <font>
      <i/>
      <color rgb="FF797E85"/>
      <name val="Roboto"/>
    </font>
    <font>
      <b/>
      <sz val="32.0"/>
      <color rgb="FFFFFFFF"/>
      <name val="Roboto"/>
    </font>
    <font>
      <color rgb="FF797E85"/>
      <name val="Roboto"/>
    </font>
    <font>
      <b/>
      <sz val="24.0"/>
      <color rgb="FF767676"/>
      <name val="Roboto"/>
    </font>
    <font>
      <b/>
      <sz val="27.0"/>
      <color rgb="FFFFFFFF"/>
      <name val="Roboto"/>
    </font>
    <font>
      <b/>
      <i/>
      <sz val="9.0"/>
      <color rgb="FFFFFFFF"/>
      <name val="Roboto"/>
    </font>
    <font>
      <b/>
      <sz val="26.0"/>
      <color rgb="FF767676"/>
      <name val="Roboto"/>
    </font>
    <font>
      <b/>
      <color rgb="FFFFFFFF"/>
      <name val="Roboto"/>
    </font>
    <font>
      <b/>
      <i/>
      <color rgb="FFFFFFFF"/>
      <name val="Roboto"/>
    </font>
    <font>
      <b/>
      <i/>
      <sz val="10.0"/>
      <color rgb="FFFFFFFF"/>
      <name val="Roboto"/>
    </font>
    <font>
      <i/>
      <sz val="8.0"/>
      <color rgb="FFFFFFFF"/>
      <name val="Roboto"/>
    </font>
    <font>
      <b/>
      <sz val="10.0"/>
      <color rgb="FF45474D"/>
      <name val="Roboto"/>
    </font>
    <font>
      <name val="Arial"/>
    </font>
    <font>
      <b/>
      <sz val="12.0"/>
      <color rgb="FF13B5EA"/>
      <name val="Roboto"/>
    </font>
    <font>
      <b/>
      <sz val="10.0"/>
      <color rgb="FF797E85"/>
      <name val="Roboto"/>
    </font>
    <font>
      <sz val="9.0"/>
      <color rgb="FF767676"/>
      <name val="Roboto"/>
    </font>
    <font>
      <b/>
      <sz val="28.0"/>
      <color rgb="FFFFFFFF"/>
      <name val="Roboto"/>
    </font>
    <font>
      <sz val="10.0"/>
      <color rgb="FF45474D"/>
      <name val="Roboto"/>
    </font>
    <font>
      <b/>
      <color rgb="FF797E85"/>
      <name val="Roboto"/>
    </font>
    <font>
      <b/>
      <sz val="9.0"/>
      <color rgb="FFFFFFFF"/>
      <name val="Roboto"/>
    </font>
    <font>
      <color rgb="FF767676"/>
      <name val="Roboto"/>
    </font>
    <font>
      <sz val="9.0"/>
      <color rgb="FFFFFFFF"/>
      <name val="Roboto"/>
    </font>
    <font>
      <b/>
      <sz val="10.0"/>
      <color rgb="FF767676"/>
      <name val="Roboto"/>
    </font>
    <font>
      <i/>
      <sz val="10.0"/>
      <color rgb="FFFFFFFF"/>
      <name val="Roboto"/>
    </font>
    <font/>
    <font>
      <color rgb="FF767676"/>
      <name val="Arial"/>
    </font>
    <font>
      <b/>
      <sz val="12.0"/>
      <color rgb="FFFFFFFF"/>
      <name val="Roboto"/>
    </font>
    <font>
      <b/>
      <sz val="10.0"/>
      <color rgb="FFFFFFFF"/>
      <name val="Roboto"/>
    </font>
    <font>
      <i/>
      <u/>
      <color rgb="FF767676"/>
      <name val="Roboto"/>
    </font>
    <font>
      <i/>
      <u/>
      <color rgb="FF767676"/>
      <name val="Roboto"/>
    </font>
    <font>
      <sz val="10.0"/>
      <color rgb="FF767676"/>
      <name val="Roboto"/>
    </font>
    <font>
      <b/>
      <i/>
      <sz val="10.0"/>
      <color rgb="FF767676"/>
      <name val="Roboto"/>
    </font>
    <font>
      <sz val="10.0"/>
      <color rgb="FFFFFFFF"/>
      <name val="Roboto"/>
    </font>
    <font>
      <sz val="16.0"/>
      <color rgb="FF767676"/>
      <name val="Roboto"/>
    </font>
    <font>
      <b/>
      <sz val="12.0"/>
      <color rgb="FF767676"/>
      <name val="Roboto"/>
    </font>
    <font>
      <i/>
      <sz val="16.0"/>
      <color rgb="FF767676"/>
      <name val="Roboto"/>
    </font>
    <font>
      <sz val="14.0"/>
      <color rgb="FF767676"/>
      <name val="Roboto"/>
    </font>
    <font>
      <sz val="10.0"/>
      <color rgb="FF000000"/>
      <name val="Inconsolata"/>
    </font>
    <font>
      <sz val="24.0"/>
      <color rgb="FF45474D"/>
      <name val="Roboto"/>
    </font>
    <font>
      <sz val="20.0"/>
      <color rgb="FF45474D"/>
      <name val="Roboto"/>
    </font>
    <font>
      <i/>
      <sz val="9.0"/>
      <color rgb="FF797E85"/>
      <name val="Roboto"/>
    </font>
    <font>
      <b/>
      <sz val="10.0"/>
      <color rgb="FF13B5EA"/>
      <name val="Roboto"/>
    </font>
    <font>
      <sz val="10.0"/>
      <color rgb="FF797E85"/>
      <name val="Roboto"/>
    </font>
    <font>
      <b/>
      <i/>
      <sz val="10.0"/>
      <color rgb="FF797E85"/>
      <name val="Roboto"/>
    </font>
    <font>
      <b/>
      <sz val="12.0"/>
      <color rgb="FF797E85"/>
      <name val="Roboto"/>
    </font>
    <font>
      <sz val="10.0"/>
      <name val="Roboto"/>
    </font>
    <font>
      <sz val="12.0"/>
      <color rgb="FF797E85"/>
      <name val="Roboto"/>
    </font>
    <font>
      <sz val="12.0"/>
      <color rgb="FF13B5EA"/>
      <name val="Roboto"/>
    </font>
    <font>
      <b/>
      <name val="Roboto"/>
    </font>
    <font>
      <name val="Roboto"/>
    </font>
    <font>
      <b/>
      <sz val="11.0"/>
      <color rgb="FF797E85"/>
      <name val="Roboto"/>
    </font>
    <font>
      <sz val="11.0"/>
      <color rgb="FF797E85"/>
      <name val="Roboto"/>
    </font>
    <font>
      <b/>
      <sz val="11.0"/>
      <color rgb="FF767676"/>
      <name val="Roboto"/>
    </font>
    <font>
      <sz val="11.0"/>
      <color rgb="FF767676"/>
      <name val="Roboto"/>
    </font>
    <font>
      <sz val="11.0"/>
      <color rgb="FF000000"/>
      <name val="Inconsolata"/>
    </font>
    <font>
      <sz val="11.0"/>
      <color rgb="FFFFFFFF"/>
      <name val="Roboto"/>
    </font>
    <font>
      <color rgb="FFFFFFFF"/>
    </font>
    <font>
      <b/>
      <sz val="11.0"/>
      <color rgb="FFFFFFFF"/>
      <name val="Roboto"/>
    </font>
    <font>
      <b/>
      <i/>
      <sz val="14.0"/>
      <color rgb="FF767676"/>
      <name val="Roboto"/>
    </font>
    <font>
      <i/>
      <sz val="10.0"/>
      <color rgb="FF767676"/>
      <name val="Roboto"/>
    </font>
    <font>
      <b/>
      <i/>
      <sz val="12.0"/>
      <color rgb="FF767676"/>
      <name val="Roboto"/>
    </font>
    <font>
      <b/>
      <i/>
      <color rgb="FF767676"/>
    </font>
  </fonts>
  <fills count="9">
    <fill>
      <patternFill patternType="none"/>
    </fill>
    <fill>
      <patternFill patternType="lightGray"/>
    </fill>
    <fill>
      <patternFill patternType="solid">
        <fgColor rgb="FF13B5EA"/>
        <bgColor rgb="FF13B5EA"/>
      </patternFill>
    </fill>
    <fill>
      <patternFill patternType="solid">
        <fgColor rgb="FFFFFFFF"/>
        <bgColor rgb="FFFFFFFF"/>
      </patternFill>
    </fill>
    <fill>
      <patternFill patternType="solid">
        <fgColor rgb="FFF3F3F3"/>
        <bgColor rgb="FFF3F3F3"/>
      </patternFill>
    </fill>
    <fill>
      <patternFill patternType="solid">
        <fgColor rgb="FFF8F8F8"/>
        <bgColor rgb="FFF8F8F8"/>
      </patternFill>
    </fill>
    <fill>
      <patternFill patternType="solid">
        <fgColor rgb="FFF3FCFF"/>
        <bgColor rgb="FFF3FCFF"/>
      </patternFill>
    </fill>
    <fill>
      <patternFill patternType="solid">
        <fgColor rgb="FFE1F6FD"/>
        <bgColor rgb="FFE1F6FD"/>
      </patternFill>
    </fill>
    <fill>
      <patternFill patternType="solid">
        <fgColor rgb="FFEAF9FE"/>
        <bgColor rgb="FFEAF9FE"/>
      </patternFill>
    </fill>
  </fills>
  <borders count="41">
    <border/>
    <border>
      <bottom style="thin">
        <color rgb="FF13B5EA"/>
      </bottom>
    </border>
    <border>
      <top style="thin">
        <color rgb="FFFFFFFF"/>
      </top>
    </border>
    <border>
      <right/>
    </border>
    <border>
      <top style="thin">
        <color rgb="FFFFFFFF"/>
      </top>
      <bottom style="thin">
        <color rgb="FFCCCCCC"/>
      </bottom>
    </border>
    <border>
      <top style="thin">
        <color rgb="FFFFFFFF"/>
      </top>
      <bottom style="thin">
        <color rgb="FFFFFFFF"/>
      </bottom>
    </border>
    <border>
      <top style="thin">
        <color rgb="FFFFFFFF"/>
      </top>
      <bottom style="thin">
        <color rgb="FF13B5EA"/>
      </bottom>
    </border>
    <border>
      <left style="thin">
        <color rgb="FFFFFFFF"/>
      </left>
      <bottom style="thin">
        <color rgb="FFEFEFEF"/>
      </bottom>
    </border>
    <border>
      <right style="thin">
        <color rgb="FFEFEFEF"/>
      </right>
      <bottom style="thin">
        <color rgb="FFEFEFEF"/>
      </bottom>
    </border>
    <border>
      <bottom style="thin">
        <color rgb="FFEFEFEF"/>
      </bottom>
    </border>
    <border>
      <right style="thin">
        <color rgb="FFBCBEC2"/>
      </right>
      <bottom style="thin">
        <color rgb="FFEFEFEF"/>
      </bottom>
    </border>
    <border>
      <left style="thin">
        <color rgb="FFFFFFFF"/>
      </left>
      <top style="thin">
        <color rgb="FFEFEFEF"/>
      </top>
      <bottom style="thin">
        <color rgb="FFEFEFEF"/>
      </bottom>
    </border>
    <border>
      <top style="thin">
        <color rgb="FFFFFFFF"/>
      </top>
      <bottom style="thin">
        <color rgb="FFD9D9D9"/>
      </bottom>
    </border>
    <border>
      <right style="thin">
        <color rgb="FFBCBEC2"/>
      </right>
      <top style="thin">
        <color rgb="FFEFEFEF"/>
      </top>
      <bottom style="thin">
        <color rgb="FFEFEFEF"/>
      </bottom>
    </border>
    <border>
      <right style="thin">
        <color rgb="FFEFEFEF"/>
      </right>
      <top style="thin">
        <color rgb="FFEFEFEF"/>
      </top>
      <bottom style="thin">
        <color rgb="FFEFEFEF"/>
      </bottom>
    </border>
    <border>
      <top style="thin">
        <color rgb="FFEFEFEF"/>
      </top>
      <bottom style="thin">
        <color rgb="FFEFEFEF"/>
      </bottom>
    </border>
    <border>
      <bottom style="thin">
        <color rgb="FFBCBEC2"/>
      </bottom>
    </border>
    <border>
      <left style="thin">
        <color rgb="FFFFFFFF"/>
      </left>
    </border>
    <border>
      <bottom style="dotted">
        <color rgb="FFB7B7B7"/>
      </bottom>
    </border>
    <border>
      <bottom style="dotted">
        <color rgb="FFCCCCCC"/>
      </bottom>
    </border>
    <border>
      <right style="thin">
        <color rgb="FFFFFFFF"/>
      </right>
    </border>
    <border>
      <left style="thin">
        <color rgb="FFFFFFFF"/>
      </left>
      <bottom style="thin">
        <color rgb="FFFFFFFF"/>
      </bottom>
    </border>
    <border>
      <bottom style="thin">
        <color rgb="FFFFFFFF"/>
      </bottom>
    </border>
    <border>
      <left style="hair">
        <color rgb="FFB7B7B7"/>
      </left>
      <right style="hair">
        <color rgb="FFB7B7B7"/>
      </right>
      <top style="hair">
        <color rgb="FFB7B7B7"/>
      </top>
      <bottom style="hair">
        <color rgb="FFB7B7B7"/>
      </bottom>
    </border>
    <border>
      <bottom style="thin">
        <color rgb="FFD9D9D9"/>
      </bottom>
    </border>
    <border>
      <top style="thin">
        <color rgb="FF13B5EA"/>
      </top>
    </border>
    <border>
      <left style="hair">
        <color rgb="FFD9D9D9"/>
      </left>
      <right style="hair">
        <color rgb="FFD9D9D9"/>
      </right>
      <top style="hair">
        <color rgb="FFD9D9D9"/>
      </top>
      <bottom style="hair">
        <color rgb="FFD9D9D9"/>
      </bottom>
    </border>
    <border>
      <bottom style="thin">
        <color rgb="FFCCCCCC"/>
      </bottom>
    </border>
    <border>
      <left style="hair">
        <color rgb="FFB7B7B7"/>
      </left>
      <right style="hair">
        <color rgb="FFB7B7B7"/>
      </right>
      <top style="hair">
        <color rgb="FFBCBEC2"/>
      </top>
    </border>
    <border>
      <left style="hair">
        <color rgb="FFB7B7B7"/>
      </left>
      <right style="hair">
        <color rgb="FFB7B7B7"/>
      </right>
    </border>
    <border>
      <bottom style="thin">
        <color rgb="FFB7B7B7"/>
      </bottom>
    </border>
    <border>
      <left style="thin">
        <color rgb="FFFFFFFF"/>
      </left>
      <bottom style="thin">
        <color rgb="FFB7B7B7"/>
      </bottom>
    </border>
    <border>
      <right style="thin">
        <color rgb="FFFFFFFF"/>
      </right>
      <bottom style="thin">
        <color rgb="FFB7B7B7"/>
      </bottom>
    </border>
    <border>
      <left style="hair">
        <color rgb="FFBCBEC2"/>
      </left>
      <right style="hair">
        <color rgb="FFBCBEC2"/>
      </right>
      <top style="hair">
        <color rgb="FFBCBEC2"/>
      </top>
      <bottom style="hair">
        <color rgb="FFBCBEC2"/>
      </bottom>
    </border>
    <border>
      <left style="hair">
        <color rgb="FFBCBEC2"/>
      </left>
      <right style="hair">
        <color rgb="FFBCBEC2"/>
      </right>
      <top style="hair">
        <color rgb="FFBCBEC2"/>
      </top>
    </border>
    <border>
      <left style="hair">
        <color rgb="FFBCBEC2"/>
      </left>
      <right style="hair">
        <color rgb="FFBCBEC2"/>
      </right>
    </border>
    <border>
      <left style="hair">
        <color rgb="FFBCBEC2"/>
      </left>
      <right style="hair">
        <color rgb="FFBCBEC2"/>
      </right>
      <bottom style="hair">
        <color rgb="FFBCBEC2"/>
      </bottom>
    </border>
    <border>
      <left style="thin">
        <color rgb="FFFFFFFF"/>
      </left>
      <bottom style="thin">
        <color rgb="FFBCBEC2"/>
      </bottom>
    </border>
    <border>
      <right style="thin">
        <color rgb="FFFFFFFF"/>
      </right>
      <bottom style="thin">
        <color rgb="FFBCBEC2"/>
      </bottom>
    </border>
    <border>
      <left style="hair">
        <color rgb="FFB7B7B7"/>
      </left>
      <right style="hair">
        <color rgb="FFB7B7B7"/>
      </right>
      <bottom style="hair">
        <color rgb="FFB7B7B7"/>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99">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Alignment="1" applyFont="1">
      <alignment readingOrder="0"/>
    </xf>
    <xf borderId="0" fillId="2" fontId="3" numFmtId="0" xfId="0" applyFont="1"/>
    <xf borderId="1" fillId="2" fontId="4" numFmtId="0" xfId="0" applyAlignment="1" applyBorder="1" applyFont="1">
      <alignment readingOrder="0" vertical="center"/>
    </xf>
    <xf borderId="0" fillId="2" fontId="5" numFmtId="0" xfId="0" applyAlignment="1" applyFont="1">
      <alignment readingOrder="0"/>
    </xf>
    <xf borderId="0" fillId="2" fontId="6" numFmtId="0" xfId="0" applyAlignment="1" applyFont="1">
      <alignment readingOrder="0" vertical="center"/>
    </xf>
    <xf borderId="1" fillId="2" fontId="7" numFmtId="0" xfId="0" applyAlignment="1" applyBorder="1" applyFont="1">
      <alignment readingOrder="0" vertical="center"/>
    </xf>
    <xf borderId="0" fillId="2" fontId="8" numFmtId="0" xfId="0" applyAlignment="1" applyFont="1">
      <alignment readingOrder="0" vertical="center"/>
    </xf>
    <xf borderId="0" fillId="2" fontId="9" numFmtId="0" xfId="0" applyAlignment="1" applyFont="1">
      <alignment readingOrder="0" vertical="center"/>
    </xf>
    <xf borderId="0" fillId="2" fontId="10" numFmtId="0" xfId="0" applyAlignment="1" applyFont="1">
      <alignment readingOrder="0" vertical="center"/>
    </xf>
    <xf borderId="0" fillId="2" fontId="11" numFmtId="0" xfId="0" applyAlignment="1" applyFont="1">
      <alignment readingOrder="0" vertical="center"/>
    </xf>
    <xf borderId="0" fillId="2" fontId="12" numFmtId="0" xfId="0" applyAlignment="1" applyFont="1">
      <alignment horizontal="center" readingOrder="0" vertical="center"/>
    </xf>
    <xf borderId="0" fillId="0" fontId="13" numFmtId="49" xfId="0" applyAlignment="1" applyFont="1" applyNumberFormat="1">
      <alignment vertical="bottom"/>
    </xf>
    <xf borderId="0" fillId="0" fontId="13" numFmtId="0" xfId="0" applyAlignment="1" applyFont="1">
      <alignment vertical="bottom"/>
    </xf>
    <xf borderId="0" fillId="3" fontId="14" numFmtId="0" xfId="0" applyAlignment="1" applyFill="1" applyFont="1">
      <alignment readingOrder="0" vertical="center"/>
    </xf>
    <xf borderId="0" fillId="2" fontId="4" numFmtId="0" xfId="0" applyAlignment="1" applyFont="1">
      <alignment readingOrder="0" vertical="center"/>
    </xf>
    <xf borderId="0" fillId="0" fontId="15" numFmtId="0" xfId="0" applyAlignment="1" applyFont="1">
      <alignment horizontal="right" readingOrder="0" vertical="center"/>
    </xf>
    <xf borderId="0" fillId="2" fontId="12" numFmtId="0" xfId="0" applyAlignment="1" applyFont="1">
      <alignment horizontal="left" readingOrder="0" vertical="center"/>
    </xf>
    <xf borderId="0" fillId="0" fontId="16" numFmtId="0" xfId="0" applyAlignment="1" applyFont="1">
      <alignment readingOrder="0" shrinkToFit="0" vertical="center" wrapText="1"/>
    </xf>
    <xf borderId="0" fillId="2" fontId="17" numFmtId="0" xfId="0" applyAlignment="1" applyFont="1">
      <alignment readingOrder="0" vertical="center"/>
    </xf>
    <xf borderId="0" fillId="2" fontId="18" numFmtId="0" xfId="0" applyAlignment="1" applyFont="1">
      <alignment horizontal="left" readingOrder="0" vertical="center"/>
    </xf>
    <xf borderId="0" fillId="0" fontId="19" numFmtId="0" xfId="0" applyAlignment="1" applyFont="1">
      <alignment horizontal="right" vertical="top"/>
    </xf>
    <xf borderId="0" fillId="2" fontId="18" numFmtId="0" xfId="0" applyAlignment="1" applyFont="1">
      <alignment horizontal="right" readingOrder="0" vertical="center"/>
    </xf>
    <xf borderId="0" fillId="2" fontId="10" numFmtId="0" xfId="0" applyAlignment="1" applyFont="1">
      <alignment readingOrder="0" shrinkToFit="0" vertical="center" wrapText="1"/>
    </xf>
    <xf borderId="0" fillId="2" fontId="20" numFmtId="0" xfId="0" applyAlignment="1" applyFont="1">
      <alignment horizontal="center" readingOrder="0" vertical="center"/>
    </xf>
    <xf borderId="0" fillId="0" fontId="21" numFmtId="0" xfId="0" applyAlignment="1" applyFont="1">
      <alignment shrinkToFit="0" wrapText="1"/>
    </xf>
    <xf borderId="0" fillId="0" fontId="13" numFmtId="0" xfId="0" applyAlignment="1" applyFont="1">
      <alignment vertical="bottom"/>
    </xf>
    <xf borderId="0" fillId="2" fontId="17" numFmtId="0" xfId="0" applyAlignment="1" applyFont="1">
      <alignment horizontal="left" readingOrder="0" vertical="center"/>
    </xf>
    <xf borderId="0" fillId="2" fontId="9" numFmtId="0" xfId="0" applyAlignment="1" applyFont="1">
      <alignment readingOrder="0"/>
    </xf>
    <xf quotePrefix="1" borderId="0" fillId="0" fontId="19" numFmtId="0" xfId="0" applyAlignment="1" applyFont="1">
      <alignment horizontal="right" vertical="top"/>
    </xf>
    <xf borderId="0" fillId="2" fontId="22" numFmtId="0" xfId="0" applyAlignment="1" applyFont="1">
      <alignment horizontal="left" readingOrder="0" vertical="center"/>
    </xf>
    <xf borderId="2" fillId="3" fontId="23" numFmtId="0" xfId="0" applyAlignment="1" applyBorder="1" applyFont="1">
      <alignment horizontal="center" readingOrder="0" vertical="center"/>
    </xf>
    <xf borderId="3" fillId="3" fontId="21" numFmtId="0" xfId="0" applyAlignment="1" applyBorder="1" applyFont="1">
      <alignment readingOrder="0" shrinkToFit="0" vertical="bottom" wrapText="0"/>
    </xf>
    <xf borderId="4" fillId="3" fontId="23" numFmtId="0" xfId="0" applyAlignment="1" applyBorder="1" applyFont="1">
      <alignment horizontal="center" readingOrder="0" vertical="center"/>
    </xf>
    <xf borderId="3" fillId="0" fontId="21" numFmtId="0" xfId="0" applyAlignment="1" applyBorder="1" applyFont="1">
      <alignment shrinkToFit="0" wrapText="1"/>
    </xf>
    <xf borderId="0" fillId="2" fontId="24" numFmtId="0" xfId="0" applyAlignment="1" applyFont="1">
      <alignment horizontal="center" readingOrder="0" vertical="center"/>
    </xf>
    <xf borderId="4" fillId="4" fontId="23" numFmtId="0" xfId="0" applyAlignment="1" applyBorder="1" applyFill="1" applyFont="1">
      <alignment horizontal="center" readingOrder="0" vertical="center"/>
    </xf>
    <xf borderId="0" fillId="2" fontId="10" numFmtId="0" xfId="0" applyAlignment="1" applyFont="1">
      <alignment horizontal="left" readingOrder="0" shrinkToFit="0" vertical="center" wrapText="1"/>
    </xf>
    <xf borderId="4" fillId="0" fontId="25" numFmtId="0" xfId="0" applyBorder="1" applyFont="1"/>
    <xf borderId="0" fillId="2" fontId="24" numFmtId="0" xfId="0" applyAlignment="1" applyFont="1">
      <alignment horizontal="left" readingOrder="0" vertical="center"/>
    </xf>
    <xf borderId="0" fillId="3" fontId="13" numFmtId="0" xfId="0" applyAlignment="1" applyFont="1">
      <alignment vertical="bottom"/>
    </xf>
    <xf borderId="0" fillId="3" fontId="13" numFmtId="0" xfId="0" applyAlignment="1" applyFont="1">
      <alignment vertical="bottom"/>
    </xf>
    <xf borderId="0" fillId="2" fontId="12" numFmtId="0" xfId="0" applyAlignment="1" applyFont="1">
      <alignment horizontal="right" readingOrder="0" vertical="center"/>
    </xf>
    <xf borderId="0" fillId="3" fontId="26" numFmtId="0" xfId="0" applyAlignment="1" applyFont="1">
      <alignment shrinkToFit="0" vertical="bottom" wrapText="1"/>
    </xf>
    <xf borderId="0" fillId="0" fontId="19" numFmtId="49" xfId="0" applyAlignment="1" applyFont="1" applyNumberFormat="1">
      <alignment horizontal="right" vertical="top"/>
    </xf>
    <xf borderId="5" fillId="2" fontId="27" numFmtId="0" xfId="0" applyAlignment="1" applyBorder="1" applyFont="1">
      <alignment horizontal="left" readingOrder="0" vertical="center"/>
    </xf>
    <xf borderId="0" fillId="0" fontId="19" numFmtId="49" xfId="0" applyAlignment="1" applyFont="1" applyNumberFormat="1">
      <alignment horizontal="right" readingOrder="0" vertical="top"/>
    </xf>
    <xf borderId="5" fillId="2" fontId="28" numFmtId="0" xfId="0" applyAlignment="1" applyBorder="1" applyFont="1">
      <alignment horizontal="left" readingOrder="0" vertical="center"/>
    </xf>
    <xf borderId="0" fillId="0" fontId="13" numFmtId="49" xfId="0" applyAlignment="1" applyFont="1" applyNumberFormat="1">
      <alignment vertical="bottom"/>
    </xf>
    <xf borderId="5" fillId="2" fontId="28" numFmtId="0" xfId="0" applyAlignment="1" applyBorder="1" applyFont="1">
      <alignment horizontal="center" readingOrder="0" vertical="center"/>
    </xf>
    <xf borderId="6" fillId="2" fontId="28" numFmtId="0" xfId="0" applyAlignment="1" applyBorder="1" applyFont="1">
      <alignment horizontal="center" readingOrder="0" vertical="center"/>
    </xf>
    <xf borderId="5" fillId="2" fontId="28" numFmtId="0" xfId="0" applyAlignment="1" applyBorder="1" applyFont="1">
      <alignment horizontal="right" readingOrder="0" vertical="center"/>
    </xf>
    <xf borderId="5" fillId="2" fontId="27" numFmtId="0" xfId="0" applyAlignment="1" applyBorder="1" applyFont="1">
      <alignment horizontal="right" readingOrder="0" vertical="center"/>
    </xf>
    <xf borderId="7" fillId="0" fontId="23" numFmtId="0" xfId="0" applyAlignment="1" applyBorder="1" applyFont="1">
      <alignment readingOrder="0"/>
    </xf>
    <xf borderId="0" fillId="0" fontId="29" numFmtId="0" xfId="0" applyAlignment="1" applyFont="1">
      <alignment shrinkToFit="0" wrapText="1"/>
    </xf>
    <xf borderId="0" fillId="0" fontId="30" numFmtId="0" xfId="0" applyAlignment="1" applyFont="1">
      <alignment shrinkToFit="0" wrapText="1"/>
    </xf>
    <xf borderId="8" fillId="0" fontId="31" numFmtId="0" xfId="0" applyAlignment="1" applyBorder="1" applyFont="1">
      <alignment readingOrder="0"/>
    </xf>
    <xf borderId="9" fillId="0" fontId="31" numFmtId="164" xfId="0" applyAlignment="1" applyBorder="1" applyFont="1" applyNumberFormat="1">
      <alignment horizontal="center" readingOrder="0"/>
    </xf>
    <xf borderId="6" fillId="2" fontId="28" numFmtId="165" xfId="0" applyAlignment="1" applyBorder="1" applyFont="1" applyNumberFormat="1">
      <alignment horizontal="center" readingOrder="0" vertical="center"/>
    </xf>
    <xf borderId="9" fillId="0" fontId="31" numFmtId="166" xfId="0" applyAlignment="1" applyBorder="1" applyFont="1" applyNumberFormat="1">
      <alignment horizontal="right" readingOrder="0"/>
    </xf>
    <xf borderId="0" fillId="2" fontId="5" numFmtId="0" xfId="0" applyAlignment="1" applyFont="1">
      <alignment horizontal="left" readingOrder="0" vertical="center"/>
    </xf>
    <xf borderId="10" fillId="0" fontId="31" numFmtId="4" xfId="0" applyAlignment="1" applyBorder="1" applyFont="1" applyNumberFormat="1">
      <alignment horizontal="right" readingOrder="0"/>
    </xf>
    <xf borderId="11" fillId="0" fontId="23" numFmtId="0" xfId="0" applyAlignment="1" applyBorder="1" applyFont="1">
      <alignment readingOrder="0"/>
    </xf>
    <xf borderId="0" fillId="2" fontId="6" numFmtId="0" xfId="0" applyAlignment="1" applyFont="1">
      <alignment horizontal="left" readingOrder="0" shrinkToFit="0" vertical="center" wrapText="1"/>
    </xf>
    <xf borderId="2" fillId="2" fontId="27" numFmtId="0" xfId="0" applyAlignment="1" applyBorder="1" applyFont="1">
      <alignment horizontal="left" readingOrder="0" vertical="center"/>
    </xf>
    <xf borderId="12" fillId="0" fontId="32" numFmtId="0" xfId="0" applyAlignment="1" applyBorder="1" applyFont="1">
      <alignment horizontal="center" readingOrder="0" vertical="center"/>
    </xf>
    <xf borderId="9" fillId="0" fontId="31" numFmtId="0" xfId="0" applyAlignment="1" applyBorder="1" applyFont="1">
      <alignment readingOrder="0"/>
    </xf>
    <xf borderId="2" fillId="2" fontId="28" numFmtId="0" xfId="0" applyAlignment="1" applyBorder="1" applyFont="1">
      <alignment horizontal="left" readingOrder="0" vertical="center"/>
    </xf>
    <xf borderId="12" fillId="0" fontId="23" numFmtId="0" xfId="0" applyAlignment="1" applyBorder="1" applyFont="1">
      <alignment horizontal="center" readingOrder="0" vertical="center"/>
    </xf>
    <xf borderId="13" fillId="0" fontId="31" numFmtId="4" xfId="0" applyAlignment="1" applyBorder="1" applyFont="1" applyNumberFormat="1">
      <alignment horizontal="right" readingOrder="0"/>
    </xf>
    <xf borderId="12" fillId="0" fontId="23" numFmtId="0" xfId="0" applyAlignment="1" applyBorder="1" applyFont="1">
      <alignment horizontal="center" vertical="center"/>
    </xf>
    <xf borderId="2" fillId="5" fontId="33" numFmtId="0" xfId="0" applyAlignment="1" applyBorder="1" applyFill="1" applyFont="1">
      <alignment readingOrder="0" vertical="center"/>
    </xf>
    <xf borderId="2" fillId="0" fontId="31" numFmtId="0" xfId="0" applyAlignment="1" applyBorder="1" applyFont="1">
      <alignment horizontal="center" vertical="center"/>
    </xf>
    <xf borderId="2" fillId="5" fontId="31" numFmtId="0" xfId="0" applyAlignment="1" applyBorder="1" applyFont="1">
      <alignment readingOrder="0" vertical="center"/>
    </xf>
    <xf borderId="14" fillId="0" fontId="31" numFmtId="0" xfId="0" applyAlignment="1" applyBorder="1" applyFont="1">
      <alignment readingOrder="0" vertical="center"/>
    </xf>
    <xf borderId="0" fillId="3" fontId="34" numFmtId="0" xfId="0" applyAlignment="1" applyFont="1">
      <alignment horizontal="left" readingOrder="0" vertical="center"/>
    </xf>
    <xf borderId="0" fillId="0" fontId="31" numFmtId="0" xfId="0" applyAlignment="1" applyFont="1">
      <alignment readingOrder="0" vertical="center"/>
    </xf>
    <xf borderId="15" fillId="0" fontId="31" numFmtId="164" xfId="0" applyAlignment="1" applyBorder="1" applyFont="1" applyNumberFormat="1">
      <alignment horizontal="center" readingOrder="0" vertical="center"/>
    </xf>
    <xf borderId="16" fillId="0" fontId="34" numFmtId="0" xfId="0" applyAlignment="1" applyBorder="1" applyFont="1">
      <alignment horizontal="left" readingOrder="0" vertical="center"/>
    </xf>
    <xf borderId="0" fillId="5" fontId="33" numFmtId="0" xfId="0" applyAlignment="1" applyFont="1">
      <alignment readingOrder="0" vertical="center"/>
    </xf>
    <xf borderId="15" fillId="0" fontId="31" numFmtId="0" xfId="0" applyAlignment="1" applyBorder="1" applyFont="1">
      <alignment readingOrder="0" vertical="center"/>
    </xf>
    <xf borderId="16" fillId="0" fontId="23" numFmtId="0" xfId="0" applyAlignment="1" applyBorder="1" applyFont="1">
      <alignment horizontal="left" readingOrder="0" vertical="center"/>
    </xf>
    <xf borderId="0" fillId="5" fontId="31" numFmtId="0" xfId="0" applyAlignment="1" applyFont="1">
      <alignment readingOrder="0" vertical="center"/>
    </xf>
    <xf borderId="15" fillId="0" fontId="31" numFmtId="166" xfId="0" applyAlignment="1" applyBorder="1" applyFont="1" applyNumberFormat="1">
      <alignment horizontal="right" readingOrder="0" vertical="center"/>
    </xf>
    <xf borderId="16" fillId="0" fontId="35" numFmtId="0" xfId="0" applyAlignment="1" applyBorder="1" applyFont="1">
      <alignment horizontal="left" readingOrder="0" vertical="center"/>
    </xf>
    <xf borderId="16" fillId="0" fontId="34" numFmtId="167" xfId="0" applyAlignment="1" applyBorder="1" applyFont="1" applyNumberFormat="1">
      <alignment horizontal="left" readingOrder="0" vertical="center"/>
    </xf>
    <xf borderId="16" fillId="0" fontId="36" numFmtId="167" xfId="0" applyAlignment="1" applyBorder="1" applyFont="1" applyNumberFormat="1">
      <alignment horizontal="left" readingOrder="0" vertical="center"/>
    </xf>
    <xf borderId="16" fillId="0" fontId="34" numFmtId="167" xfId="0" applyAlignment="1" applyBorder="1" applyFont="1" applyNumberFormat="1">
      <alignment horizontal="left" readingOrder="0" vertical="center"/>
    </xf>
    <xf borderId="15" fillId="0" fontId="31" numFmtId="168" xfId="0" applyAlignment="1" applyBorder="1" applyFont="1" applyNumberFormat="1">
      <alignment horizontal="center" readingOrder="0" vertical="center"/>
    </xf>
    <xf borderId="0" fillId="0" fontId="34" numFmtId="0" xfId="0" applyAlignment="1" applyFont="1">
      <alignment horizontal="left" readingOrder="0" vertical="center"/>
    </xf>
    <xf borderId="0" fillId="3" fontId="31" numFmtId="0" xfId="0" applyAlignment="1" applyFont="1">
      <alignment vertical="bottom"/>
    </xf>
    <xf borderId="15" fillId="0" fontId="31" numFmtId="169" xfId="0" applyAlignment="1" applyBorder="1" applyFont="1" applyNumberFormat="1">
      <alignment horizontal="right" readingOrder="0" vertical="center"/>
    </xf>
    <xf borderId="0" fillId="0" fontId="31" numFmtId="0" xfId="0" applyAlignment="1" applyFont="1">
      <alignment vertical="bottom"/>
    </xf>
    <xf borderId="0" fillId="0" fontId="37" numFmtId="0" xfId="0" applyAlignment="1" applyFont="1">
      <alignment vertical="bottom"/>
    </xf>
    <xf borderId="0" fillId="0" fontId="23" numFmtId="0" xfId="0" applyAlignment="1" applyFont="1">
      <alignment readingOrder="0" vertical="center"/>
    </xf>
    <xf borderId="17" fillId="6" fontId="31" numFmtId="167" xfId="0" applyAlignment="1" applyBorder="1" applyFill="1" applyFont="1" applyNumberFormat="1">
      <alignment vertical="bottom"/>
    </xf>
    <xf borderId="18" fillId="5" fontId="33" numFmtId="0" xfId="0" applyAlignment="1" applyBorder="1" applyFont="1">
      <alignment readingOrder="0" vertical="center"/>
    </xf>
    <xf borderId="0" fillId="6" fontId="31" numFmtId="167" xfId="0" applyAlignment="1" applyFont="1" applyNumberFormat="1">
      <alignment vertical="bottom"/>
    </xf>
    <xf borderId="18" fillId="5" fontId="31" numFmtId="0" xfId="0" applyAlignment="1" applyBorder="1" applyFont="1">
      <alignment readingOrder="0" vertical="center"/>
    </xf>
    <xf borderId="18" fillId="0" fontId="31" numFmtId="0" xfId="0" applyAlignment="1" applyBorder="1" applyFont="1">
      <alignment readingOrder="0" vertical="center"/>
    </xf>
    <xf borderId="19" fillId="0" fontId="31" numFmtId="0" xfId="0" applyAlignment="1" applyBorder="1" applyFont="1">
      <alignment readingOrder="0" vertical="center"/>
    </xf>
    <xf borderId="20" fillId="6" fontId="31" numFmtId="167" xfId="0" applyAlignment="1" applyBorder="1" applyFont="1" applyNumberFormat="1">
      <alignment vertical="bottom"/>
    </xf>
    <xf borderId="0" fillId="0" fontId="32" numFmtId="167" xfId="0" applyAlignment="1" applyFont="1" applyNumberFormat="1">
      <alignment vertical="bottom"/>
    </xf>
    <xf borderId="0" fillId="3" fontId="38" numFmtId="168" xfId="0" applyFont="1" applyNumberFormat="1"/>
    <xf borderId="0" fillId="0" fontId="31" numFmtId="10" xfId="0" applyAlignment="1" applyFont="1" applyNumberFormat="1">
      <alignment horizontal="center"/>
    </xf>
    <xf borderId="0" fillId="0" fontId="31" numFmtId="167" xfId="0" applyFont="1" applyNumberFormat="1"/>
    <xf borderId="0" fillId="0" fontId="31" numFmtId="0" xfId="0" applyFont="1"/>
    <xf borderId="0" fillId="3" fontId="31" numFmtId="0" xfId="0" applyAlignment="1" applyFont="1">
      <alignment readingOrder="0" vertical="bottom"/>
    </xf>
    <xf borderId="0" fillId="0" fontId="31" numFmtId="0" xfId="0" applyAlignment="1" applyFont="1">
      <alignment readingOrder="0" vertical="bottom"/>
    </xf>
    <xf borderId="0" fillId="0" fontId="37" numFmtId="0" xfId="0" applyAlignment="1" applyFont="1">
      <alignment readingOrder="0" vertical="bottom"/>
    </xf>
    <xf borderId="0" fillId="0" fontId="31" numFmtId="0" xfId="0" applyAlignment="1" applyFont="1">
      <alignment horizontal="left" readingOrder="0"/>
    </xf>
    <xf borderId="0" fillId="2" fontId="39" numFmtId="0" xfId="0" applyAlignment="1" applyFont="1">
      <alignment readingOrder="0" vertical="top"/>
    </xf>
    <xf borderId="0" fillId="2" fontId="40" numFmtId="0" xfId="0" applyAlignment="1" applyFont="1">
      <alignment readingOrder="0" vertical="top"/>
    </xf>
    <xf borderId="21" fillId="0" fontId="23" numFmtId="0" xfId="0" applyAlignment="1" applyBorder="1" applyFont="1">
      <alignment readingOrder="0"/>
    </xf>
    <xf borderId="0" fillId="2" fontId="11" numFmtId="0" xfId="0" applyAlignment="1" applyFont="1">
      <alignment horizontal="center" readingOrder="0" vertical="bottom"/>
    </xf>
    <xf borderId="22" fillId="0" fontId="31" numFmtId="0" xfId="0" applyAlignment="1" applyBorder="1" applyFont="1">
      <alignment readingOrder="0"/>
    </xf>
    <xf borderId="0" fillId="2" fontId="41" numFmtId="0" xfId="0" applyAlignment="1" applyFont="1">
      <alignment horizontal="center" readingOrder="0" vertical="center"/>
    </xf>
    <xf borderId="22" fillId="0" fontId="31" numFmtId="168" xfId="0" applyAlignment="1" applyBorder="1" applyFont="1" applyNumberFormat="1">
      <alignment horizontal="center" readingOrder="0"/>
    </xf>
    <xf borderId="0" fillId="2" fontId="18" numFmtId="0" xfId="0" applyFont="1"/>
    <xf borderId="22" fillId="0" fontId="31" numFmtId="169" xfId="0" applyAlignment="1" applyBorder="1" applyFont="1" applyNumberFormat="1">
      <alignment horizontal="right" readingOrder="0"/>
    </xf>
    <xf borderId="23" fillId="3" fontId="42" numFmtId="0" xfId="0" applyAlignment="1" applyBorder="1" applyFont="1">
      <alignment horizontal="center" readingOrder="0" vertical="center"/>
    </xf>
    <xf borderId="0" fillId="0" fontId="23" numFmtId="0" xfId="0" applyAlignment="1" applyFont="1">
      <alignment readingOrder="0"/>
    </xf>
    <xf borderId="0" fillId="2" fontId="42" numFmtId="0" xfId="0" applyAlignment="1" applyFont="1">
      <alignment horizontal="center" readingOrder="0" vertical="center"/>
    </xf>
    <xf borderId="0" fillId="0" fontId="31" numFmtId="0" xfId="0" applyAlignment="1" applyFont="1">
      <alignment readingOrder="0"/>
    </xf>
    <xf borderId="0" fillId="0" fontId="31" numFmtId="168" xfId="0" applyAlignment="1" applyFont="1" applyNumberFormat="1">
      <alignment horizontal="center" readingOrder="0"/>
    </xf>
    <xf borderId="0" fillId="2" fontId="18" numFmtId="0" xfId="0" applyAlignment="1" applyFont="1">
      <alignment vertical="bottom"/>
    </xf>
    <xf borderId="0" fillId="0" fontId="31" numFmtId="169" xfId="0" applyAlignment="1" applyFont="1" applyNumberFormat="1">
      <alignment horizontal="right" readingOrder="0"/>
    </xf>
    <xf borderId="0" fillId="2" fontId="10" numFmtId="0" xfId="0" applyAlignment="1" applyFont="1">
      <alignment readingOrder="0" shrinkToFit="0" vertical="center" wrapText="0"/>
    </xf>
    <xf borderId="0" fillId="2" fontId="6" numFmtId="0" xfId="0" applyAlignment="1" applyFont="1">
      <alignment readingOrder="0" shrinkToFit="0" vertical="center" wrapText="0"/>
    </xf>
    <xf borderId="0" fillId="2" fontId="6" numFmtId="0" xfId="0" applyAlignment="1" applyFont="1">
      <alignment readingOrder="0" shrinkToFit="0" vertical="center" wrapText="1"/>
    </xf>
    <xf borderId="1" fillId="2" fontId="18" numFmtId="0" xfId="0" applyAlignment="1" applyBorder="1" applyFont="1">
      <alignment vertical="bottom"/>
    </xf>
    <xf borderId="0" fillId="0" fontId="15" numFmtId="0" xfId="0" applyAlignment="1" applyFont="1">
      <alignment readingOrder="0" vertical="center"/>
    </xf>
    <xf borderId="24" fillId="0" fontId="15" numFmtId="0" xfId="0" applyAlignment="1" applyBorder="1" applyFont="1">
      <alignment readingOrder="0" vertical="center"/>
    </xf>
    <xf borderId="24" fillId="0" fontId="25" numFmtId="0" xfId="0" applyBorder="1" applyFont="1"/>
    <xf borderId="24" fillId="0" fontId="43" numFmtId="0" xfId="0" applyAlignment="1" applyBorder="1" applyFont="1">
      <alignment vertical="center"/>
    </xf>
    <xf borderId="25" fillId="3" fontId="43" numFmtId="0" xfId="0" applyAlignment="1" applyBorder="1" applyFont="1">
      <alignment vertical="center"/>
    </xf>
    <xf borderId="0" fillId="0" fontId="43" numFmtId="0" xfId="0" applyAlignment="1" applyFont="1">
      <alignment vertical="bottom"/>
    </xf>
    <xf borderId="0" fillId="0" fontId="15" numFmtId="0" xfId="0" applyAlignment="1" applyFont="1">
      <alignment readingOrder="0" vertical="bottom"/>
    </xf>
    <xf borderId="0" fillId="3" fontId="43" numFmtId="0" xfId="0" applyAlignment="1" applyFont="1">
      <alignment vertical="bottom"/>
    </xf>
    <xf borderId="0" fillId="0" fontId="43" numFmtId="0" xfId="0" applyAlignment="1" applyFont="1">
      <alignment readingOrder="0"/>
    </xf>
    <xf borderId="17" fillId="6" fontId="31" numFmtId="167" xfId="0" applyBorder="1" applyFont="1" applyNumberFormat="1"/>
    <xf borderId="26" fillId="4" fontId="43" numFmtId="170" xfId="0" applyAlignment="1" applyBorder="1" applyFont="1" applyNumberFormat="1">
      <alignment horizontal="right" readingOrder="0"/>
    </xf>
    <xf borderId="0" fillId="3" fontId="43" numFmtId="170" xfId="0" applyAlignment="1" applyFont="1" applyNumberFormat="1">
      <alignment horizontal="right"/>
    </xf>
    <xf borderId="26" fillId="4" fontId="43" numFmtId="170" xfId="0" applyAlignment="1" applyBorder="1" applyFont="1" applyNumberFormat="1">
      <alignment readingOrder="0" vertical="bottom"/>
    </xf>
    <xf borderId="0" fillId="3" fontId="43" numFmtId="170" xfId="0" applyAlignment="1" applyFont="1" applyNumberFormat="1">
      <alignment readingOrder="0" vertical="bottom"/>
    </xf>
    <xf borderId="0" fillId="0" fontId="43" numFmtId="0" xfId="0" applyAlignment="1" applyFont="1">
      <alignment readingOrder="0" vertical="bottom"/>
    </xf>
    <xf borderId="0" fillId="0" fontId="15" numFmtId="0" xfId="0" applyAlignment="1" applyFont="1">
      <alignment horizontal="left" readingOrder="0"/>
    </xf>
    <xf borderId="26" fillId="0" fontId="43" numFmtId="170" xfId="0" applyAlignment="1" applyBorder="1" applyFont="1" applyNumberFormat="1">
      <alignment vertical="bottom"/>
    </xf>
    <xf borderId="0" fillId="3" fontId="43" numFmtId="170" xfId="0" applyAlignment="1" applyFont="1" applyNumberFormat="1">
      <alignment vertical="bottom"/>
    </xf>
    <xf borderId="0" fillId="0" fontId="43" numFmtId="0" xfId="0" applyAlignment="1" applyFont="1">
      <alignment horizontal="left" readingOrder="0"/>
    </xf>
    <xf borderId="0" fillId="0" fontId="43" numFmtId="170" xfId="0" applyAlignment="1" applyFont="1" applyNumberFormat="1">
      <alignment vertical="bottom"/>
    </xf>
    <xf borderId="0" fillId="0" fontId="43" numFmtId="0" xfId="0" applyAlignment="1" applyFont="1">
      <alignment vertical="bottom"/>
    </xf>
    <xf borderId="26" fillId="4" fontId="43" numFmtId="170" xfId="0" applyAlignment="1" applyBorder="1" applyFont="1" applyNumberFormat="1">
      <alignment horizontal="right"/>
    </xf>
    <xf borderId="0" fillId="6" fontId="31" numFmtId="167" xfId="0" applyFont="1" applyNumberFormat="1"/>
    <xf borderId="0" fillId="0" fontId="43" numFmtId="170" xfId="0" applyAlignment="1" applyFont="1" applyNumberFormat="1">
      <alignment readingOrder="0" vertical="bottom"/>
    </xf>
    <xf borderId="0" fillId="3" fontId="43" numFmtId="0" xfId="0" applyAlignment="1" applyFont="1">
      <alignment readingOrder="0" vertical="bottom"/>
    </xf>
    <xf borderId="0" fillId="0" fontId="44" numFmtId="0" xfId="0" applyAlignment="1" applyFont="1">
      <alignment vertical="bottom"/>
    </xf>
    <xf borderId="0" fillId="0" fontId="15" numFmtId="170" xfId="0" applyAlignment="1" applyFont="1" applyNumberFormat="1">
      <alignment horizontal="right" vertical="bottom"/>
    </xf>
    <xf borderId="0" fillId="3" fontId="15" numFmtId="170" xfId="0" applyAlignment="1" applyFont="1" applyNumberFormat="1">
      <alignment horizontal="right" vertical="bottom"/>
    </xf>
    <xf borderId="0" fillId="3" fontId="15" numFmtId="170" xfId="0" applyAlignment="1" applyFont="1" applyNumberFormat="1">
      <alignment horizontal="right" readingOrder="0" vertical="bottom"/>
    </xf>
    <xf borderId="0" fillId="3" fontId="43" numFmtId="170" xfId="0" applyAlignment="1" applyFont="1" applyNumberFormat="1">
      <alignment horizontal="right" vertical="bottom"/>
    </xf>
    <xf borderId="0" fillId="3" fontId="44" numFmtId="0" xfId="0" applyAlignment="1" applyFont="1">
      <alignment vertical="bottom"/>
    </xf>
    <xf borderId="24" fillId="0" fontId="43" numFmtId="0" xfId="0" applyAlignment="1" applyBorder="1" applyFont="1">
      <alignment vertical="bottom"/>
    </xf>
    <xf borderId="24" fillId="0" fontId="43" numFmtId="170" xfId="0" applyAlignment="1" applyBorder="1" applyFont="1" applyNumberFormat="1">
      <alignment vertical="bottom"/>
    </xf>
    <xf borderId="24" fillId="0" fontId="45" numFmtId="0" xfId="0" applyAlignment="1" applyBorder="1" applyFont="1">
      <alignment readingOrder="0" vertical="center"/>
    </xf>
    <xf borderId="0" fillId="3" fontId="43" numFmtId="0" xfId="0" applyAlignment="1" applyFont="1">
      <alignment vertical="center"/>
    </xf>
    <xf borderId="0" fillId="0" fontId="43" numFmtId="0" xfId="0" applyFont="1"/>
    <xf borderId="0" fillId="0" fontId="44" numFmtId="0" xfId="0" applyAlignment="1" applyFont="1">
      <alignment readingOrder="0" vertical="bottom"/>
    </xf>
    <xf borderId="0" fillId="0" fontId="43" numFmtId="170" xfId="0" applyAlignment="1" applyFont="1" applyNumberFormat="1">
      <alignment horizontal="right" vertical="bottom"/>
    </xf>
    <xf borderId="0" fillId="0" fontId="15" numFmtId="0" xfId="0" applyAlignment="1" applyFont="1">
      <alignment readingOrder="0"/>
    </xf>
    <xf borderId="0" fillId="0" fontId="46" numFmtId="170" xfId="0" applyAlignment="1" applyFont="1" applyNumberFormat="1">
      <alignment horizontal="right"/>
    </xf>
    <xf borderId="0" fillId="3" fontId="43" numFmtId="49" xfId="0" applyAlignment="1" applyFont="1" applyNumberFormat="1">
      <alignment vertical="bottom"/>
    </xf>
    <xf borderId="27" fillId="0" fontId="43" numFmtId="0" xfId="0" applyAlignment="1" applyBorder="1" applyFont="1">
      <alignment vertical="bottom"/>
    </xf>
    <xf borderId="0" fillId="3" fontId="43" numFmtId="0" xfId="0" applyFont="1"/>
    <xf borderId="20" fillId="6" fontId="31" numFmtId="167" xfId="0" applyBorder="1" applyFont="1" applyNumberFormat="1"/>
    <xf borderId="0" fillId="0" fontId="32" numFmtId="167" xfId="0" applyAlignment="1" applyFont="1" applyNumberFormat="1">
      <alignment horizontal="right" vertical="bottom"/>
    </xf>
    <xf borderId="28" fillId="4" fontId="23" numFmtId="9" xfId="0" applyAlignment="1" applyBorder="1" applyFont="1" applyNumberFormat="1">
      <alignment readingOrder="0"/>
    </xf>
    <xf borderId="29" fillId="4" fontId="23" numFmtId="9" xfId="0" applyAlignment="1" applyBorder="1" applyFont="1" applyNumberFormat="1">
      <alignment readingOrder="0"/>
    </xf>
    <xf borderId="30" fillId="0" fontId="31" numFmtId="0" xfId="0" applyAlignment="1" applyBorder="1" applyFont="1">
      <alignment readingOrder="0" vertical="bottom"/>
    </xf>
    <xf borderId="31" fillId="6" fontId="31" numFmtId="167" xfId="0" applyBorder="1" applyFont="1" applyNumberFormat="1"/>
    <xf borderId="30" fillId="6" fontId="31" numFmtId="167" xfId="0" applyBorder="1" applyFont="1" applyNumberFormat="1"/>
    <xf borderId="32" fillId="6" fontId="31" numFmtId="167" xfId="0" applyBorder="1" applyFont="1" applyNumberFormat="1"/>
    <xf borderId="30" fillId="0" fontId="32" numFmtId="167" xfId="0" applyAlignment="1" applyBorder="1" applyFont="1" applyNumberFormat="1">
      <alignment horizontal="right" vertical="bottom"/>
    </xf>
    <xf borderId="30" fillId="0" fontId="31" numFmtId="167" xfId="0" applyBorder="1" applyFont="1" applyNumberFormat="1"/>
    <xf borderId="0" fillId="0" fontId="23" numFmtId="0" xfId="0" applyAlignment="1" applyFont="1">
      <alignment vertical="bottom"/>
    </xf>
    <xf borderId="17" fillId="6" fontId="31" numFmtId="167" xfId="0" applyAlignment="1" applyBorder="1" applyFont="1" applyNumberFormat="1">
      <alignment horizontal="right" vertical="bottom"/>
    </xf>
    <xf borderId="33" fillId="0" fontId="23" numFmtId="10" xfId="0" applyAlignment="1" applyBorder="1" applyFont="1" applyNumberFormat="1">
      <alignment horizontal="center"/>
    </xf>
    <xf borderId="2" fillId="0" fontId="31" numFmtId="0" xfId="0" applyAlignment="1" applyBorder="1" applyFont="1">
      <alignment vertical="bottom"/>
    </xf>
    <xf borderId="2" fillId="0" fontId="37" numFmtId="0" xfId="0" applyAlignment="1" applyBorder="1" applyFont="1">
      <alignment vertical="bottom"/>
    </xf>
    <xf borderId="2" fillId="0" fontId="23" numFmtId="0" xfId="0" applyBorder="1" applyFont="1"/>
    <xf borderId="2" fillId="0" fontId="25" numFmtId="0" xfId="0" applyBorder="1" applyFont="1"/>
    <xf borderId="2" fillId="0" fontId="32" numFmtId="167" xfId="0" applyAlignment="1" applyBorder="1" applyFont="1" applyNumberFormat="1">
      <alignment vertical="bottom"/>
    </xf>
    <xf borderId="20" fillId="3" fontId="31" numFmtId="9" xfId="0" applyAlignment="1" applyBorder="1" applyFont="1" applyNumberFormat="1">
      <alignment readingOrder="0"/>
    </xf>
    <xf borderId="2" fillId="0" fontId="31" numFmtId="167" xfId="0" applyBorder="1" applyFont="1" applyNumberFormat="1"/>
    <xf borderId="2" fillId="0" fontId="31" numFmtId="0" xfId="0" applyBorder="1" applyFont="1"/>
    <xf borderId="0" fillId="3" fontId="47" numFmtId="0" xfId="0" applyAlignment="1" applyFont="1">
      <alignment readingOrder="0" vertical="center"/>
    </xf>
    <xf borderId="19" fillId="3" fontId="14" numFmtId="0" xfId="0" applyAlignment="1" applyBorder="1" applyFont="1">
      <alignment readingOrder="0" vertical="center"/>
    </xf>
    <xf borderId="19" fillId="3" fontId="48" numFmtId="171" xfId="0" applyAlignment="1" applyBorder="1" applyFont="1" applyNumberFormat="1">
      <alignment readingOrder="0" vertical="center"/>
    </xf>
    <xf borderId="0" fillId="3" fontId="47" numFmtId="0" xfId="0" applyAlignment="1" applyFont="1">
      <alignment readingOrder="0"/>
    </xf>
    <xf borderId="0" fillId="3" fontId="14" numFmtId="0" xfId="0" applyAlignment="1" applyFont="1">
      <alignment readingOrder="0"/>
    </xf>
    <xf borderId="0" fillId="3" fontId="48" numFmtId="171" xfId="0" applyAlignment="1" applyFont="1" applyNumberFormat="1">
      <alignment readingOrder="0" vertical="center"/>
    </xf>
    <xf borderId="0" fillId="0" fontId="33" numFmtId="0" xfId="0" applyAlignment="1" applyFont="1">
      <alignment readingOrder="0"/>
    </xf>
    <xf borderId="0" fillId="3" fontId="28" numFmtId="0" xfId="0" applyAlignment="1" applyFont="1">
      <alignment readingOrder="0"/>
    </xf>
    <xf borderId="0" fillId="0" fontId="32" numFmtId="167" xfId="0" applyAlignment="1" applyFont="1" applyNumberFormat="1">
      <alignment horizontal="right"/>
    </xf>
    <xf borderId="0" fillId="3" fontId="33" numFmtId="171" xfId="0" applyAlignment="1" applyFont="1" applyNumberFormat="1">
      <alignment readingOrder="0" vertical="center"/>
    </xf>
    <xf borderId="0" fillId="3" fontId="33" numFmtId="0" xfId="0" applyAlignment="1" applyFont="1">
      <alignment readingOrder="0"/>
    </xf>
    <xf borderId="34" fillId="4" fontId="23" numFmtId="9" xfId="0" applyAlignment="1" applyBorder="1" applyFont="1" applyNumberFormat="1">
      <alignment readingOrder="0"/>
    </xf>
    <xf borderId="0" fillId="0" fontId="31" numFmtId="0" xfId="0" applyAlignment="1" applyFont="1">
      <alignment readingOrder="0"/>
    </xf>
    <xf borderId="0" fillId="3" fontId="28" numFmtId="165" xfId="0" applyAlignment="1" applyFont="1" applyNumberFormat="1">
      <alignment readingOrder="0" vertical="center"/>
    </xf>
    <xf borderId="0" fillId="3" fontId="28" numFmtId="167" xfId="0" applyAlignment="1" applyFont="1" applyNumberFormat="1">
      <alignment readingOrder="0"/>
    </xf>
    <xf borderId="0" fillId="3" fontId="28" numFmtId="0" xfId="0" applyAlignment="1" applyFont="1">
      <alignment readingOrder="0" vertical="center"/>
    </xf>
    <xf borderId="0" fillId="3" fontId="19" numFmtId="0" xfId="0" applyAlignment="1" applyFont="1">
      <alignment vertical="center"/>
    </xf>
    <xf borderId="27" fillId="3" fontId="15" numFmtId="0" xfId="0" applyAlignment="1" applyBorder="1" applyFont="1">
      <alignment vertical="center"/>
    </xf>
    <xf borderId="27" fillId="3" fontId="15" numFmtId="0" xfId="0" applyAlignment="1" applyBorder="1" applyFont="1">
      <alignment horizontal="right" vertical="center"/>
    </xf>
    <xf borderId="27" fillId="3" fontId="15" numFmtId="0" xfId="0" applyAlignment="1" applyBorder="1" applyFont="1">
      <alignment horizontal="right" readingOrder="0" vertical="center"/>
    </xf>
    <xf borderId="0" fillId="3" fontId="49" numFmtId="0" xfId="0" applyAlignment="1" applyFont="1">
      <alignment vertical="center"/>
    </xf>
    <xf borderId="0" fillId="3" fontId="3" numFmtId="0" xfId="0" applyFont="1"/>
    <xf borderId="0" fillId="7" fontId="21" numFmtId="165" xfId="0" applyAlignment="1" applyFill="1" applyFont="1" applyNumberFormat="1">
      <alignment horizontal="left" vertical="bottom"/>
    </xf>
    <xf borderId="0" fillId="3" fontId="21" numFmtId="167" xfId="0" applyFont="1" applyNumberFormat="1"/>
    <xf borderId="0" fillId="3" fontId="50" numFmtId="0" xfId="0" applyFont="1"/>
    <xf borderId="0" fillId="6" fontId="21" numFmtId="165" xfId="0" applyAlignment="1" applyFont="1" applyNumberFormat="1">
      <alignment horizontal="left" vertical="bottom"/>
    </xf>
    <xf borderId="0" fillId="0" fontId="51" numFmtId="0" xfId="0" applyAlignment="1" applyFont="1">
      <alignment readingOrder="0" vertical="center"/>
    </xf>
    <xf borderId="27" fillId="0" fontId="15" numFmtId="0" xfId="0" applyAlignment="1" applyBorder="1" applyFont="1">
      <alignment readingOrder="0" vertical="center"/>
    </xf>
    <xf borderId="27" fillId="0" fontId="52" numFmtId="0" xfId="0" applyAlignment="1" applyBorder="1" applyFont="1">
      <alignment vertical="center"/>
    </xf>
    <xf borderId="0" fillId="0" fontId="52" numFmtId="0" xfId="0" applyAlignment="1" applyFont="1">
      <alignment readingOrder="0" vertical="center"/>
    </xf>
    <xf borderId="0" fillId="3" fontId="53" numFmtId="0" xfId="0" applyAlignment="1" applyFont="1">
      <alignment vertical="center"/>
    </xf>
    <xf borderId="0" fillId="0" fontId="52" numFmtId="0" xfId="0" applyAlignment="1" applyFont="1">
      <alignment readingOrder="0"/>
    </xf>
    <xf borderId="0" fillId="0" fontId="54" numFmtId="165" xfId="0" applyAlignment="1" applyFont="1" applyNumberFormat="1">
      <alignment readingOrder="0"/>
    </xf>
    <xf borderId="0" fillId="0" fontId="54" numFmtId="170" xfId="0" applyAlignment="1" applyFont="1" applyNumberFormat="1">
      <alignment readingOrder="0"/>
    </xf>
    <xf borderId="0" fillId="0" fontId="52" numFmtId="0" xfId="0" applyFont="1"/>
    <xf borderId="0" fillId="0" fontId="51" numFmtId="0" xfId="0" applyAlignment="1" applyFont="1">
      <alignment readingOrder="0"/>
    </xf>
    <xf borderId="27" fillId="0" fontId="52" numFmtId="0" xfId="0" applyBorder="1" applyFont="1"/>
    <xf borderId="0" fillId="0" fontId="52" numFmtId="170" xfId="0" applyAlignment="1" applyFont="1" applyNumberFormat="1">
      <alignment readingOrder="0"/>
    </xf>
    <xf borderId="27" fillId="0" fontId="52" numFmtId="170" xfId="0" applyAlignment="1" applyBorder="1" applyFont="1" applyNumberFormat="1">
      <alignment vertical="center"/>
    </xf>
    <xf borderId="0" fillId="0" fontId="43" numFmtId="0" xfId="0" applyAlignment="1" applyFont="1">
      <alignment vertical="center"/>
    </xf>
    <xf borderId="0" fillId="3" fontId="55" numFmtId="0" xfId="0" applyAlignment="1" applyFont="1">
      <alignment readingOrder="0"/>
    </xf>
    <xf borderId="35" fillId="4" fontId="23" numFmtId="9" xfId="0" applyAlignment="1" applyBorder="1" applyFont="1" applyNumberFormat="1">
      <alignment readingOrder="0"/>
    </xf>
    <xf borderId="0" fillId="0" fontId="52" numFmtId="170" xfId="0" applyFont="1" applyNumberFormat="1"/>
    <xf borderId="0" fillId="0" fontId="52" numFmtId="0" xfId="0" applyAlignment="1" applyFont="1">
      <alignment vertical="center"/>
    </xf>
    <xf borderId="30" fillId="0" fontId="31" numFmtId="0" xfId="0" applyAlignment="1" applyBorder="1" applyFont="1">
      <alignment readingOrder="0"/>
    </xf>
    <xf borderId="0" fillId="0" fontId="56" numFmtId="0" xfId="0" applyAlignment="1" applyFont="1">
      <alignment readingOrder="0"/>
    </xf>
    <xf borderId="0" fillId="0" fontId="56" numFmtId="171" xfId="0" applyAlignment="1" applyFont="1" applyNumberFormat="1">
      <alignment readingOrder="0"/>
    </xf>
    <xf borderId="0" fillId="0" fontId="56" numFmtId="0" xfId="0" applyFont="1"/>
    <xf borderId="0" fillId="0" fontId="57" numFmtId="0" xfId="0" applyFont="1"/>
    <xf borderId="0" fillId="0" fontId="58" numFmtId="0" xfId="0" applyAlignment="1" applyFont="1">
      <alignment readingOrder="0" vertical="center"/>
    </xf>
    <xf borderId="0" fillId="0" fontId="56" numFmtId="0" xfId="0" applyAlignment="1" applyFont="1">
      <alignment vertical="center"/>
    </xf>
    <xf borderId="0" fillId="0" fontId="54" numFmtId="0" xfId="0" applyAlignment="1" applyFont="1">
      <alignment readingOrder="0"/>
    </xf>
    <xf borderId="0" fillId="0" fontId="54" numFmtId="171" xfId="0" applyAlignment="1" applyFont="1" applyNumberFormat="1">
      <alignment readingOrder="0"/>
    </xf>
    <xf borderId="0" fillId="0" fontId="52" numFmtId="171" xfId="0" applyAlignment="1" applyFont="1" applyNumberFormat="1">
      <alignment readingOrder="0"/>
    </xf>
    <xf borderId="30" fillId="0" fontId="32" numFmtId="167" xfId="0" applyAlignment="1" applyBorder="1" applyFont="1" applyNumberFormat="1">
      <alignment horizontal="right"/>
    </xf>
    <xf borderId="36" fillId="4" fontId="23" numFmtId="9" xfId="0" applyAlignment="1" applyBorder="1" applyFont="1" applyNumberFormat="1">
      <alignment readingOrder="0"/>
    </xf>
    <xf borderId="36" fillId="0" fontId="23" numFmtId="10" xfId="0" applyAlignment="1" applyBorder="1" applyFont="1" applyNumberFormat="1">
      <alignment horizontal="center"/>
    </xf>
    <xf borderId="0" fillId="3" fontId="36" numFmtId="0" xfId="0" applyAlignment="1" applyFont="1">
      <alignment readingOrder="0" vertical="top"/>
    </xf>
    <xf borderId="0" fillId="0" fontId="36" numFmtId="0" xfId="0" applyAlignment="1" applyFont="1">
      <alignment readingOrder="0" vertical="top"/>
    </xf>
    <xf borderId="0" fillId="0" fontId="59" numFmtId="0" xfId="0" applyAlignment="1" applyFont="1">
      <alignment readingOrder="0" vertical="top"/>
    </xf>
    <xf borderId="2" fillId="0" fontId="23" numFmtId="0" xfId="0" applyAlignment="1" applyBorder="1" applyFont="1">
      <alignment readingOrder="0" vertical="top"/>
    </xf>
    <xf borderId="2" fillId="0" fontId="60" numFmtId="0" xfId="0" applyAlignment="1" applyBorder="1" applyFont="1">
      <alignment vertical="top"/>
    </xf>
    <xf borderId="0" fillId="6" fontId="23" numFmtId="167" xfId="0" applyAlignment="1" applyFont="1" applyNumberFormat="1">
      <alignment horizontal="right" vertical="top"/>
    </xf>
    <xf borderId="2" fillId="0" fontId="32" numFmtId="167" xfId="0" applyAlignment="1" applyBorder="1" applyFont="1" applyNumberFormat="1">
      <alignment horizontal="right" vertical="top"/>
    </xf>
    <xf borderId="33" fillId="0" fontId="23" numFmtId="10" xfId="0" applyAlignment="1" applyBorder="1" applyFont="1" applyNumberFormat="1">
      <alignment horizontal="center" vertical="top"/>
    </xf>
    <xf borderId="2" fillId="0" fontId="31" numFmtId="167" xfId="0" applyAlignment="1" applyBorder="1" applyFont="1" applyNumberFormat="1">
      <alignment vertical="top"/>
    </xf>
    <xf borderId="2" fillId="0" fontId="31" numFmtId="0" xfId="0" applyAlignment="1" applyBorder="1" applyFont="1">
      <alignment vertical="top"/>
    </xf>
    <xf borderId="16" fillId="0" fontId="31" numFmtId="0" xfId="0" applyAlignment="1" applyBorder="1" applyFont="1">
      <alignment vertical="bottom"/>
    </xf>
    <xf borderId="16" fillId="0" fontId="37" numFmtId="0" xfId="0" applyAlignment="1" applyBorder="1" applyFont="1">
      <alignment vertical="bottom"/>
    </xf>
    <xf borderId="37" fillId="6" fontId="31" numFmtId="167" xfId="0" applyAlignment="1" applyBorder="1" applyFont="1" applyNumberFormat="1">
      <alignment vertical="bottom"/>
    </xf>
    <xf borderId="16" fillId="6" fontId="31" numFmtId="167" xfId="0" applyAlignment="1" applyBorder="1" applyFont="1" applyNumberFormat="1">
      <alignment vertical="bottom"/>
    </xf>
    <xf borderId="38" fillId="6" fontId="31" numFmtId="167" xfId="0" applyAlignment="1" applyBorder="1" applyFont="1" applyNumberFormat="1">
      <alignment vertical="bottom"/>
    </xf>
    <xf borderId="16" fillId="0" fontId="32" numFmtId="167" xfId="0" applyAlignment="1" applyBorder="1" applyFont="1" applyNumberFormat="1">
      <alignment vertical="bottom"/>
    </xf>
    <xf borderId="16" fillId="0" fontId="31" numFmtId="10" xfId="0" applyAlignment="1" applyBorder="1" applyFont="1" applyNumberFormat="1">
      <alignment horizontal="center"/>
    </xf>
    <xf borderId="16" fillId="0" fontId="31" numFmtId="167" xfId="0" applyBorder="1" applyFont="1" applyNumberFormat="1"/>
    <xf borderId="0" fillId="3" fontId="34" numFmtId="0" xfId="0" applyAlignment="1" applyFont="1">
      <alignment readingOrder="0" vertical="top"/>
    </xf>
    <xf borderId="16" fillId="0" fontId="34" numFmtId="0" xfId="0" applyAlignment="1" applyBorder="1" applyFont="1">
      <alignment readingOrder="0" vertical="top"/>
    </xf>
    <xf borderId="16" fillId="0" fontId="23" numFmtId="0" xfId="0" applyAlignment="1" applyBorder="1" applyFont="1">
      <alignment readingOrder="0" vertical="center"/>
    </xf>
    <xf borderId="16" fillId="0" fontId="35" numFmtId="0" xfId="0" applyAlignment="1" applyBorder="1" applyFont="1">
      <alignment readingOrder="0" vertical="center"/>
    </xf>
    <xf borderId="16" fillId="3" fontId="35" numFmtId="167" xfId="0" applyAlignment="1" applyBorder="1" applyFont="1" applyNumberFormat="1">
      <alignment readingOrder="0" vertical="center"/>
    </xf>
    <xf borderId="16" fillId="0" fontId="61" numFmtId="167" xfId="0" applyAlignment="1" applyBorder="1" applyFont="1" applyNumberFormat="1">
      <alignment readingOrder="0" vertical="center"/>
    </xf>
    <xf borderId="0" fillId="0" fontId="35" numFmtId="0" xfId="0" applyAlignment="1" applyFont="1">
      <alignment readingOrder="0" vertical="center"/>
    </xf>
    <xf borderId="16" fillId="0" fontId="35" numFmtId="167" xfId="0" applyAlignment="1" applyBorder="1" applyFont="1" applyNumberFormat="1">
      <alignment readingOrder="0" vertical="center"/>
    </xf>
    <xf borderId="0" fillId="8" fontId="31" numFmtId="167" xfId="0" applyAlignment="1" applyFill="1" applyFont="1" applyNumberFormat="1">
      <alignment horizontal="right"/>
    </xf>
    <xf borderId="30" fillId="0" fontId="31" numFmtId="0" xfId="0" applyAlignment="1" applyBorder="1" applyFont="1">
      <alignment horizontal="left" readingOrder="0"/>
    </xf>
    <xf borderId="30" fillId="8" fontId="31" numFmtId="167" xfId="0" applyAlignment="1" applyBorder="1" applyFont="1" applyNumberFormat="1">
      <alignment horizontal="right"/>
    </xf>
    <xf borderId="0" fillId="3" fontId="32" numFmtId="0" xfId="0" applyAlignment="1" applyFont="1">
      <alignment readingOrder="0" vertical="center"/>
    </xf>
    <xf borderId="0" fillId="0" fontId="32" numFmtId="0" xfId="0" applyAlignment="1" applyFont="1">
      <alignment readingOrder="0" vertical="center"/>
    </xf>
    <xf borderId="0" fillId="0" fontId="32" numFmtId="0" xfId="0" applyAlignment="1" applyFont="1">
      <alignment vertical="center"/>
    </xf>
    <xf borderId="0" fillId="8" fontId="23" numFmtId="167" xfId="0" applyAlignment="1" applyFont="1" applyNumberFormat="1">
      <alignment horizontal="right" vertical="center"/>
    </xf>
    <xf borderId="0" fillId="0" fontId="62" numFmtId="167" xfId="0" applyAlignment="1" applyFont="1" applyNumberFormat="1">
      <alignment vertical="center"/>
    </xf>
    <xf borderId="39" fillId="0" fontId="23" numFmtId="0" xfId="0" applyAlignment="1" applyBorder="1" applyFont="1">
      <alignment horizontal="center" readingOrder="0" vertical="center"/>
    </xf>
    <xf borderId="0" fillId="0" fontId="31" numFmtId="0" xfId="0" applyAlignment="1" applyFont="1">
      <alignment vertical="center"/>
    </xf>
    <xf borderId="0" fillId="8" fontId="31" numFmtId="167" xfId="0" applyAlignment="1" applyFont="1" applyNumberFormat="1">
      <alignment vertical="bottom"/>
    </xf>
    <xf borderId="0" fillId="3" fontId="31" numFmtId="0" xfId="0" applyAlignment="1" applyFont="1">
      <alignment vertical="center"/>
    </xf>
    <xf borderId="0" fillId="0" fontId="32" numFmtId="167" xfId="0" applyAlignment="1" applyFont="1" applyNumberFormat="1">
      <alignment horizontal="right" vertical="center"/>
    </xf>
    <xf borderId="40" fillId="0" fontId="23" numFmtId="10" xfId="0" applyAlignment="1" applyBorder="1" applyFont="1" applyNumberFormat="1">
      <alignment horizontal="center" vertical="top"/>
    </xf>
    <xf borderId="0" fillId="0" fontId="60" numFmtId="0" xfId="0" applyAlignment="1" applyFont="1">
      <alignment vertical="top"/>
    </xf>
    <xf borderId="0" fillId="8" fontId="31" numFmtId="167" xfId="0" applyAlignment="1" applyFont="1" applyNumberFormat="1">
      <alignment horizontal="right" vertical="top"/>
    </xf>
    <xf borderId="0" fillId="0" fontId="32" numFmtId="167" xfId="0" applyAlignment="1" applyFont="1" applyNumberFormat="1">
      <alignment horizontal="right" vertical="top"/>
    </xf>
    <xf borderId="0" fillId="3" fontId="31" numFmtId="0" xfId="0" applyFont="1"/>
    <xf borderId="0" fillId="3" fontId="31" numFmtId="167" xfId="0" applyFont="1" applyNumberFormat="1"/>
    <xf borderId="0" fillId="0" fontId="32" numFmtId="167" xfId="0" applyFont="1" applyNumberFormat="1"/>
  </cellXfs>
  <cellStyles count="1">
    <cellStyle xfId="0" name="Normal" builtinId="0"/>
  </cellStyles>
  <dxfs count="5">
    <dxf>
      <font/>
      <fill>
        <patternFill patternType="none"/>
      </fill>
      <border/>
    </dxf>
    <dxf>
      <font/>
      <fill>
        <patternFill patternType="solid">
          <fgColor rgb="FFE1F6FD"/>
          <bgColor rgb="FFE1F6FD"/>
        </patternFill>
      </fill>
      <border/>
    </dxf>
    <dxf>
      <font/>
      <fill>
        <patternFill patternType="solid">
          <fgColor rgb="FFFFFFFF"/>
          <bgColor rgb="FFFFFFFF"/>
        </patternFill>
      </fill>
      <border/>
    </dxf>
    <dxf>
      <font/>
      <fill>
        <patternFill patternType="solid">
          <fgColor rgb="FFE1F6FD"/>
          <bgColor rgb="FFE1F6FD"/>
        </patternFill>
      </fill>
      <border/>
    </dxf>
    <dxf>
      <font/>
      <fill>
        <patternFill patternType="solid">
          <fgColor rgb="FFF3FCFF"/>
          <bgColor rgb="FFF3FCFF"/>
        </patternFill>
      </fill>
      <border/>
    </dxf>
  </dxfs>
  <tableStyles count="1">
    <tableStyle count="2" pivot="0" name="Transaction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Total sales and total profit over time</a:t>
            </a:r>
          </a:p>
        </c:rich>
      </c:tx>
      <c:overlay val="0"/>
    </c:title>
    <c:plotArea>
      <c:layout>
        <c:manualLayout>
          <c:xMode val="edge"/>
          <c:yMode val="edge"/>
          <c:x val="0.139"/>
          <c:y val="0.19421"/>
          <c:w val="0.6332"/>
          <c:h val="0.6157"/>
        </c:manualLayout>
      </c:layout>
      <c:lineChart>
        <c:ser>
          <c:idx val="0"/>
          <c:order val="0"/>
          <c:tx>
            <c:strRef>
              <c:f>Dashboard!$C$9</c:f>
            </c:strRef>
          </c:tx>
          <c:spPr>
            <a:ln cmpd="sng">
              <a:solidFill>
                <a:srgbClr val="4285F4"/>
              </a:solidFill>
            </a:ln>
          </c:spPr>
          <c:marker>
            <c:symbol val="circle"/>
            <c:size val="2"/>
            <c:spPr>
              <a:solidFill>
                <a:srgbClr val="4285F4"/>
              </a:solidFill>
              <a:ln cmpd="sng">
                <a:solidFill>
                  <a:srgbClr val="4285F4"/>
                </a:solidFill>
              </a:ln>
            </c:spPr>
          </c:marker>
          <c:cat>
            <c:strRef>
              <c:f>Dashboard!$B$10:$B$23</c:f>
            </c:strRef>
          </c:cat>
          <c:val>
            <c:numRef>
              <c:f>Dashboard!$C$10:$C$23</c:f>
              <c:numCache/>
            </c:numRef>
          </c:val>
          <c:smooth val="0"/>
        </c:ser>
        <c:ser>
          <c:idx val="1"/>
          <c:order val="1"/>
          <c:tx>
            <c:strRef>
              <c:f>Dashboard!$D$9</c:f>
            </c:strRef>
          </c:tx>
          <c:spPr>
            <a:ln cmpd="sng">
              <a:solidFill>
                <a:srgbClr val="38761D">
                  <a:alpha val="100000"/>
                </a:srgbClr>
              </a:solidFill>
            </a:ln>
          </c:spPr>
          <c:marker>
            <c:symbol val="circle"/>
            <c:size val="2"/>
            <c:spPr>
              <a:solidFill>
                <a:srgbClr val="38761D">
                  <a:alpha val="100000"/>
                </a:srgbClr>
              </a:solidFill>
              <a:ln cmpd="sng">
                <a:solidFill>
                  <a:srgbClr val="38761D">
                    <a:alpha val="100000"/>
                  </a:srgbClr>
                </a:solidFill>
              </a:ln>
            </c:spPr>
          </c:marker>
          <c:cat>
            <c:strRef>
              <c:f>Dashboard!$B$10:$B$23</c:f>
            </c:strRef>
          </c:cat>
          <c:val>
            <c:numRef>
              <c:f>Dashboard!$D$10:$D$23</c:f>
              <c:numCache/>
            </c:numRef>
          </c:val>
          <c:smooth val="0"/>
        </c:ser>
        <c:axId val="1329753594"/>
        <c:axId val="1204786515"/>
      </c:lineChart>
      <c:catAx>
        <c:axId val="1329753594"/>
        <c:scaling>
          <c:orientation val="minMax"/>
        </c:scaling>
        <c:delete val="0"/>
        <c:axPos val="b"/>
        <c:title>
          <c:tx>
            <c:rich>
              <a:bodyPr/>
              <a:lstStyle/>
              <a:p>
                <a:pPr lvl="0">
                  <a:defRPr b="0" i="1" sz="1200">
                    <a:solidFill>
                      <a:srgbClr val="757575"/>
                    </a:solidFill>
                    <a:latin typeface="Roboto"/>
                  </a:defRPr>
                </a:pPr>
                <a:r>
                  <a:rPr b="0" i="1" sz="1200">
                    <a:solidFill>
                      <a:srgbClr val="757575"/>
                    </a:solidFill>
                    <a:latin typeface="Roboto"/>
                  </a:rPr>
                  <a:t>Month</a:t>
                </a:r>
              </a:p>
            </c:rich>
          </c:tx>
          <c:overlay val="0"/>
        </c:title>
        <c:numFmt formatCode="General" sourceLinked="1"/>
        <c:majorTickMark val="none"/>
        <c:minorTickMark val="none"/>
        <c:spPr>
          <a:ln>
            <a:noFill/>
          </a:ln>
        </c:spPr>
        <c:txPr>
          <a:bodyPr rot="-1800000"/>
          <a:lstStyle/>
          <a:p>
            <a:pPr lvl="0">
              <a:defRPr b="0">
                <a:solidFill>
                  <a:srgbClr val="000000"/>
                </a:solidFill>
                <a:latin typeface="Roboto"/>
              </a:defRPr>
            </a:pPr>
          </a:p>
        </c:txPr>
        <c:crossAx val="1204786515"/>
      </c:catAx>
      <c:valAx>
        <c:axId val="12047865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329753594"/>
      </c:valAx>
    </c:plotArea>
    <c:legend>
      <c:legendPos val="r"/>
      <c:overlay val="0"/>
      <c:txPr>
        <a:bodyPr/>
        <a:lstStyle/>
        <a:p>
          <a:pPr lvl="0">
            <a:defRPr b="0" sz="1200">
              <a:solidFill>
                <a:srgbClr val="222222"/>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800">
                <a:solidFill>
                  <a:srgbClr val="666666"/>
                </a:solidFill>
                <a:latin typeface="Roboto"/>
              </a:defRPr>
            </a:pPr>
            <a:r>
              <a:rPr b="1" sz="1800">
                <a:solidFill>
                  <a:srgbClr val="666666"/>
                </a:solidFill>
                <a:latin typeface="Roboto"/>
              </a:rPr>
              <a:t>    Annual expense totals by category</a:t>
            </a:r>
          </a:p>
        </c:rich>
      </c:tx>
      <c:overlay val="0"/>
    </c:title>
    <c:plotArea>
      <c:layout/>
      <c:pieChart>
        <c:varyColors val="1"/>
        <c:ser>
          <c:idx val="0"/>
          <c:order val="0"/>
          <c:dPt>
            <c:idx val="0"/>
            <c:spPr>
              <a:solidFill>
                <a:srgbClr val="316395"/>
              </a:solidFill>
              <a:ln cmpd="sng" w="9525">
                <a:solidFill>
                  <a:srgbClr val="FFFFFF"/>
                </a:solidFill>
              </a:ln>
            </c:spPr>
          </c:dPt>
          <c:dPt>
            <c:idx val="1"/>
            <c:spPr>
              <a:solidFill>
                <a:srgbClr val="6FA8DC"/>
              </a:solidFill>
              <a:ln cmpd="sng" w="9525">
                <a:solidFill>
                  <a:srgbClr val="FFFFFF"/>
                </a:solidFill>
              </a:ln>
            </c:spPr>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Lbls>
            <c:showLegendKey val="0"/>
            <c:showVal val="0"/>
            <c:showCatName val="0"/>
            <c:showSerName val="0"/>
            <c:showPercent val="1"/>
            <c:showBubbleSize val="0"/>
            <c:showLeaderLines val="1"/>
          </c:dLbls>
          <c:cat>
            <c:strRef>
              <c:f>Dashboard!$B$61:$B$81</c:f>
            </c:strRef>
          </c:cat>
          <c:val>
            <c:numRef>
              <c:f>Dashboard!$C$61:$C$81</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sz="1200">
              <a:solidFill>
                <a:srgbClr val="666666"/>
              </a:solidFill>
              <a:latin typeface="Roboto"/>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6</xdr:row>
      <xdr:rowOff>57150</xdr:rowOff>
    </xdr:from>
    <xdr:ext cx="6391275" cy="35052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304800</xdr:colOff>
      <xdr:row>58</xdr:row>
      <xdr:rowOff>161925</xdr:rowOff>
    </xdr:from>
    <xdr:ext cx="6410325" cy="41719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7:F45" displayName="Table_1" name="Table_1" id="1">
  <tableColumns count="6">
    <tableColumn name="Column1" id="1"/>
    <tableColumn name="Column2" id="2"/>
    <tableColumn name="Column3" id="3"/>
    <tableColumn name="Column4" id="4"/>
    <tableColumn name="Column5" id="5"/>
    <tableColumn name="Column6" id="6"/>
  </tableColumns>
  <tableStyleInfo name="Transaction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
    <col customWidth="1" min="2" max="6" width="12.63"/>
    <col customWidth="1" min="7" max="7" width="13.25"/>
  </cols>
  <sheetData>
    <row r="1" ht="13.5" customHeight="1">
      <c r="A1" s="1"/>
      <c r="B1" s="2"/>
      <c r="C1" s="3"/>
      <c r="D1" s="3"/>
      <c r="E1" s="3"/>
      <c r="F1" s="3"/>
      <c r="G1" s="3"/>
    </row>
    <row r="2">
      <c r="A2" s="1"/>
      <c r="B2" s="5" t="s">
        <v>0</v>
      </c>
      <c r="C2" s="6"/>
      <c r="D2" s="8"/>
      <c r="E2" s="9"/>
      <c r="F2" s="9"/>
      <c r="G2" s="9"/>
    </row>
    <row r="3">
      <c r="A3" s="1"/>
      <c r="B3" s="10" t="s">
        <v>1</v>
      </c>
      <c r="C3" s="3"/>
      <c r="D3" s="3"/>
      <c r="E3" s="3"/>
      <c r="F3" s="3"/>
      <c r="G3" s="3"/>
    </row>
    <row r="4" ht="13.5" customHeight="1">
      <c r="A4" s="1"/>
      <c r="B4" s="11"/>
      <c r="C4" s="3"/>
      <c r="D4" s="3"/>
      <c r="E4" s="3"/>
      <c r="F4" s="3"/>
      <c r="G4" s="3"/>
    </row>
    <row r="5" ht="8.25" customHeight="1">
      <c r="A5" s="13"/>
      <c r="B5" s="14"/>
      <c r="C5" s="14"/>
      <c r="D5" s="14"/>
      <c r="E5" s="14"/>
      <c r="F5" s="14"/>
      <c r="G5" s="14"/>
    </row>
    <row r="6">
      <c r="A6" s="13"/>
      <c r="B6" s="15" t="s">
        <v>2</v>
      </c>
      <c r="C6" s="14"/>
      <c r="D6" s="14"/>
      <c r="E6" s="14"/>
      <c r="F6" s="14"/>
      <c r="G6" s="14"/>
    </row>
    <row r="7" ht="3.75" customHeight="1">
      <c r="A7" s="17"/>
      <c r="B7" s="19"/>
      <c r="C7" s="19"/>
      <c r="D7" s="19"/>
      <c r="E7" s="19"/>
      <c r="F7" s="19"/>
      <c r="G7" s="14"/>
    </row>
    <row r="8">
      <c r="A8" s="22" t="s">
        <v>4</v>
      </c>
      <c r="B8" s="26" t="s">
        <v>6</v>
      </c>
      <c r="G8" s="27"/>
    </row>
    <row r="9" ht="3.75" customHeight="1">
      <c r="A9" s="22"/>
      <c r="B9" s="26"/>
      <c r="C9" s="26"/>
      <c r="D9" s="26"/>
      <c r="E9" s="26"/>
      <c r="F9" s="26"/>
      <c r="G9" s="27"/>
    </row>
    <row r="10">
      <c r="A10" s="30" t="s">
        <v>8</v>
      </c>
      <c r="B10" s="26" t="s">
        <v>9</v>
      </c>
      <c r="G10" s="27"/>
    </row>
    <row r="11" ht="3.75" customHeight="1">
      <c r="A11" s="22"/>
      <c r="B11" s="26"/>
      <c r="C11" s="26"/>
      <c r="D11" s="26"/>
      <c r="E11" s="26"/>
      <c r="F11" s="26"/>
      <c r="G11" s="27"/>
    </row>
    <row r="12">
      <c r="A12" s="30" t="s">
        <v>10</v>
      </c>
      <c r="B12" s="33" t="s">
        <v>11</v>
      </c>
      <c r="C12" s="35"/>
      <c r="D12" s="35"/>
      <c r="E12" s="35"/>
      <c r="F12" s="35"/>
      <c r="G12" s="27"/>
    </row>
    <row r="13" ht="3.75" customHeight="1">
      <c r="A13" s="22"/>
      <c r="B13" s="41"/>
      <c r="C13" s="41"/>
      <c r="D13" s="41"/>
      <c r="E13" s="41"/>
      <c r="F13" s="41"/>
      <c r="G13" s="42"/>
    </row>
    <row r="14">
      <c r="A14" s="30" t="s">
        <v>14</v>
      </c>
      <c r="B14" s="44" t="s">
        <v>15</v>
      </c>
    </row>
    <row r="15" ht="3.75" customHeight="1">
      <c r="A15" s="45"/>
      <c r="B15" s="26"/>
      <c r="C15" s="26"/>
      <c r="D15" s="26"/>
      <c r="E15" s="26"/>
      <c r="F15" s="26"/>
      <c r="G15" s="27"/>
    </row>
    <row r="16">
      <c r="A16" s="47" t="s">
        <v>16</v>
      </c>
      <c r="B16" s="26" t="s">
        <v>19</v>
      </c>
      <c r="G16" s="27"/>
    </row>
    <row r="17">
      <c r="A17" s="49"/>
      <c r="B17" s="19"/>
      <c r="G17" s="27"/>
    </row>
    <row r="18">
      <c r="A18" s="49"/>
      <c r="B18" s="55" t="str">
        <f>HYPERLINK("https://www.xero.com/financial-statements/?xtid=x30googlesheets&amp;utm_source=google&amp;utm_medium=web&amp;utm_campaign=googlesheets","Click here for more information about Xero and financial statements")</f>
        <v>Click here for more information about Xero and financial statements</v>
      </c>
      <c r="G18" s="27"/>
    </row>
    <row r="19">
      <c r="A19" s="49"/>
      <c r="B19" s="56" t="str">
        <f>HYPERLINK("https://www.youtube.com/watch?v=pKMs2emIMIw/?xtid=x30googlesheets&amp;utm_source=google&amp;utm_medium=web&amp;utm_campaign=googlesheets","Click here for a quick video about this template")</f>
        <v>Click here for a quick video about this template</v>
      </c>
      <c r="G19" s="27"/>
    </row>
    <row r="20">
      <c r="A20" s="13"/>
      <c r="B20" s="19"/>
      <c r="G20" s="14"/>
    </row>
    <row r="21">
      <c r="A21" s="13"/>
      <c r="B21" s="19"/>
      <c r="G21" s="14"/>
    </row>
    <row r="22">
      <c r="A22" s="13"/>
      <c r="B22" s="14"/>
      <c r="C22" s="14"/>
      <c r="D22" s="14"/>
      <c r="E22" s="14"/>
      <c r="F22" s="14"/>
      <c r="G22" s="14"/>
    </row>
    <row r="23">
      <c r="A23" s="13"/>
      <c r="B23" s="14"/>
      <c r="C23" s="14"/>
      <c r="D23" s="14"/>
      <c r="E23" s="14"/>
      <c r="F23" s="14"/>
      <c r="G23" s="14"/>
    </row>
    <row r="24">
      <c r="A24" s="13"/>
      <c r="B24" s="14"/>
      <c r="C24" s="14"/>
      <c r="D24" s="14"/>
      <c r="E24" s="14"/>
      <c r="F24" s="14"/>
      <c r="G24" s="14"/>
    </row>
    <row r="25">
      <c r="A25" s="13"/>
      <c r="B25" s="14"/>
      <c r="C25" s="14"/>
      <c r="D25" s="14"/>
      <c r="E25" s="14"/>
      <c r="F25" s="14"/>
      <c r="G25" s="14"/>
    </row>
    <row r="26">
      <c r="A26" s="13"/>
      <c r="B26" s="14"/>
      <c r="C26" s="14"/>
      <c r="D26" s="14"/>
      <c r="E26" s="14"/>
      <c r="F26" s="14"/>
      <c r="G26" s="14"/>
    </row>
    <row r="27">
      <c r="A27" s="13"/>
      <c r="B27" s="14"/>
      <c r="C27" s="14"/>
      <c r="D27" s="14"/>
      <c r="E27" s="14"/>
      <c r="F27" s="14"/>
      <c r="G27" s="14"/>
    </row>
    <row r="28">
      <c r="A28" s="13"/>
      <c r="B28" s="14"/>
      <c r="C28" s="14"/>
      <c r="D28" s="14"/>
      <c r="E28" s="14"/>
      <c r="F28" s="14"/>
      <c r="G28" s="14"/>
    </row>
    <row r="29">
      <c r="A29" s="13"/>
      <c r="B29" s="14"/>
      <c r="C29" s="14"/>
      <c r="D29" s="14"/>
      <c r="E29" s="14"/>
      <c r="F29" s="14"/>
      <c r="G29" s="14"/>
    </row>
    <row r="30">
      <c r="A30" s="13"/>
      <c r="B30" s="14"/>
      <c r="C30" s="14"/>
      <c r="D30" s="14"/>
      <c r="E30" s="14"/>
      <c r="F30" s="14"/>
      <c r="G30" s="14"/>
    </row>
    <row r="31">
      <c r="A31" s="13"/>
      <c r="B31" s="14"/>
      <c r="C31" s="14"/>
      <c r="D31" s="14"/>
      <c r="E31" s="14"/>
      <c r="F31" s="14"/>
      <c r="G31" s="14"/>
    </row>
    <row r="32">
      <c r="A32" s="13"/>
      <c r="B32" s="14"/>
      <c r="C32" s="14"/>
      <c r="D32" s="14"/>
      <c r="E32" s="14"/>
      <c r="F32" s="14"/>
      <c r="G32" s="14"/>
    </row>
    <row r="33">
      <c r="A33" s="13"/>
      <c r="B33" s="14"/>
      <c r="C33" s="14"/>
      <c r="D33" s="14"/>
      <c r="E33" s="14"/>
      <c r="F33" s="14"/>
      <c r="G33" s="14"/>
    </row>
    <row r="34">
      <c r="A34" s="13"/>
      <c r="B34" s="14"/>
      <c r="C34" s="14"/>
      <c r="D34" s="14"/>
      <c r="E34" s="14"/>
      <c r="F34" s="14"/>
      <c r="G34" s="14"/>
    </row>
  </sheetData>
  <mergeCells count="9">
    <mergeCell ref="B20:F20"/>
    <mergeCell ref="B21:F21"/>
    <mergeCell ref="B8:F8"/>
    <mergeCell ref="B10:F10"/>
    <mergeCell ref="B14:G14"/>
    <mergeCell ref="B16:F16"/>
    <mergeCell ref="B17:F17"/>
    <mergeCell ref="B18:F18"/>
    <mergeCell ref="B19:F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sheetViews>
  <sheetFormatPr customHeight="1" defaultColWidth="12.63" defaultRowHeight="15.75"/>
  <cols>
    <col customWidth="1" min="1" max="1" width="4.5"/>
    <col customWidth="1" min="2" max="2" width="18.0"/>
    <col customWidth="1" min="3" max="3" width="16.38"/>
    <col customWidth="1" min="4" max="4" width="26.5"/>
    <col customWidth="1" min="5" max="5" width="15.63"/>
    <col customWidth="1" min="6" max="6" width="4.5"/>
  </cols>
  <sheetData>
    <row r="1" ht="22.5" customHeight="1">
      <c r="A1" s="12"/>
      <c r="B1" s="18"/>
      <c r="C1" s="21"/>
      <c r="D1" s="21"/>
      <c r="E1" s="23"/>
      <c r="F1" s="23"/>
    </row>
    <row r="2" ht="30.0" customHeight="1">
      <c r="A2" s="25"/>
      <c r="B2" s="28" t="s">
        <v>7</v>
      </c>
      <c r="F2" s="31"/>
    </row>
    <row r="3" ht="43.5" customHeight="1">
      <c r="A3" s="36"/>
      <c r="B3" s="38" t="s">
        <v>13</v>
      </c>
      <c r="F3" s="40"/>
    </row>
    <row r="4" ht="9.75" customHeight="1">
      <c r="A4" s="12"/>
      <c r="B4" s="18"/>
      <c r="C4" s="18"/>
      <c r="D4" s="18"/>
      <c r="E4" s="43"/>
      <c r="F4" s="43"/>
    </row>
    <row r="5" ht="9.75" customHeight="1">
      <c r="A5" s="12"/>
      <c r="B5" s="18"/>
      <c r="C5" s="18"/>
      <c r="D5" s="18"/>
      <c r="E5" s="43"/>
      <c r="F5" s="43"/>
    </row>
    <row r="6" ht="26.25" customHeight="1">
      <c r="A6" s="46"/>
      <c r="B6" s="48" t="s">
        <v>18</v>
      </c>
      <c r="C6" s="50" t="s">
        <v>20</v>
      </c>
      <c r="D6" s="48" t="s">
        <v>21</v>
      </c>
      <c r="E6" s="52" t="s">
        <v>22</v>
      </c>
      <c r="F6" s="53"/>
    </row>
    <row r="7" ht="16.5" customHeight="1">
      <c r="A7" s="54"/>
      <c r="B7" s="57" t="s">
        <v>23</v>
      </c>
      <c r="C7" s="58">
        <v>43468.0</v>
      </c>
      <c r="D7" s="57" t="s">
        <v>24</v>
      </c>
      <c r="E7" s="60">
        <v>800.0</v>
      </c>
      <c r="F7" s="62"/>
    </row>
    <row r="8" ht="16.5" customHeight="1">
      <c r="A8" s="63"/>
      <c r="B8" s="57" t="s">
        <v>28</v>
      </c>
      <c r="C8" s="58">
        <v>43491.0</v>
      </c>
      <c r="D8" s="67" t="s">
        <v>29</v>
      </c>
      <c r="E8" s="60">
        <v>-250.0</v>
      </c>
      <c r="F8" s="70"/>
    </row>
    <row r="9" ht="16.5" customHeight="1">
      <c r="A9" s="63"/>
      <c r="B9" s="75" t="s">
        <v>23</v>
      </c>
      <c r="C9" s="78">
        <v>43499.0</v>
      </c>
      <c r="D9" s="81" t="s">
        <v>34</v>
      </c>
      <c r="E9" s="84">
        <v>1100.0</v>
      </c>
      <c r="F9" s="70"/>
    </row>
    <row r="10" ht="16.5" customHeight="1">
      <c r="A10" s="63"/>
      <c r="B10" s="57" t="s">
        <v>37</v>
      </c>
      <c r="C10" s="58">
        <v>43501.0</v>
      </c>
      <c r="D10" s="67" t="s">
        <v>38</v>
      </c>
      <c r="E10" s="60">
        <v>-150.0</v>
      </c>
      <c r="F10" s="62"/>
    </row>
    <row r="11" ht="16.5" customHeight="1">
      <c r="A11" s="63"/>
      <c r="B11" s="75" t="s">
        <v>23</v>
      </c>
      <c r="C11" s="78">
        <v>43536.0</v>
      </c>
      <c r="D11" s="81" t="s">
        <v>41</v>
      </c>
      <c r="E11" s="84">
        <v>1200.0</v>
      </c>
      <c r="F11" s="70"/>
    </row>
    <row r="12" ht="16.5" customHeight="1">
      <c r="A12" s="63"/>
      <c r="B12" s="75"/>
      <c r="C12" s="89"/>
      <c r="D12" s="81"/>
      <c r="E12" s="92"/>
      <c r="F12" s="62"/>
    </row>
    <row r="13" ht="16.5" customHeight="1">
      <c r="A13" s="63"/>
      <c r="B13" s="75"/>
      <c r="C13" s="89"/>
      <c r="D13" s="81"/>
      <c r="E13" s="92"/>
      <c r="F13" s="62"/>
    </row>
    <row r="14" ht="16.5" customHeight="1">
      <c r="A14" s="63"/>
      <c r="B14" s="75"/>
      <c r="C14" s="89"/>
      <c r="D14" s="81"/>
      <c r="E14" s="92"/>
      <c r="F14" s="70"/>
    </row>
    <row r="15" ht="16.5" customHeight="1">
      <c r="A15" s="63"/>
      <c r="B15" s="75"/>
      <c r="C15" s="89"/>
      <c r="D15" s="81"/>
      <c r="E15" s="92"/>
      <c r="F15" s="70"/>
    </row>
    <row r="16" ht="16.5" customHeight="1">
      <c r="A16" s="63"/>
      <c r="B16" s="75"/>
      <c r="C16" s="89"/>
      <c r="D16" s="81"/>
      <c r="E16" s="92"/>
      <c r="F16" s="70"/>
    </row>
    <row r="17" ht="16.5" customHeight="1">
      <c r="A17" s="63"/>
      <c r="B17" s="75"/>
      <c r="C17" s="89"/>
      <c r="D17" s="81"/>
      <c r="E17" s="92"/>
      <c r="F17" s="70"/>
    </row>
    <row r="18" ht="16.5" customHeight="1">
      <c r="A18" s="63"/>
      <c r="B18" s="75"/>
      <c r="C18" s="89"/>
      <c r="D18" s="81"/>
      <c r="E18" s="92"/>
      <c r="F18" s="70"/>
    </row>
    <row r="19" ht="16.5" customHeight="1">
      <c r="A19" s="63"/>
      <c r="B19" s="75"/>
      <c r="C19" s="89"/>
      <c r="D19" s="81"/>
      <c r="E19" s="92"/>
      <c r="F19" s="70"/>
    </row>
    <row r="20" ht="16.5" customHeight="1">
      <c r="A20" s="63"/>
      <c r="B20" s="75"/>
      <c r="C20" s="89"/>
      <c r="D20" s="81"/>
      <c r="E20" s="92"/>
      <c r="F20" s="70"/>
    </row>
    <row r="21" ht="16.5" customHeight="1">
      <c r="A21" s="63"/>
      <c r="B21" s="75"/>
      <c r="C21" s="104"/>
      <c r="D21" s="81"/>
      <c r="E21" s="92"/>
      <c r="F21" s="70"/>
    </row>
    <row r="22" ht="16.5" customHeight="1">
      <c r="A22" s="63"/>
      <c r="B22" s="75"/>
      <c r="C22" s="89"/>
      <c r="D22" s="81"/>
      <c r="E22" s="92"/>
      <c r="F22" s="70"/>
    </row>
    <row r="23" ht="16.5" customHeight="1">
      <c r="A23" s="63"/>
      <c r="B23" s="75"/>
      <c r="C23" s="89"/>
      <c r="D23" s="81"/>
      <c r="E23" s="92"/>
      <c r="F23" s="70"/>
    </row>
    <row r="24" ht="16.5" customHeight="1">
      <c r="A24" s="63"/>
      <c r="B24" s="75"/>
      <c r="C24" s="89"/>
      <c r="D24" s="81"/>
      <c r="E24" s="92"/>
      <c r="F24" s="70"/>
    </row>
    <row r="25" ht="16.5" customHeight="1">
      <c r="A25" s="63"/>
      <c r="B25" s="75"/>
      <c r="C25" s="89"/>
      <c r="D25" s="81"/>
      <c r="E25" s="92"/>
      <c r="F25" s="70"/>
    </row>
    <row r="26" ht="16.5" customHeight="1">
      <c r="A26" s="63"/>
      <c r="B26" s="75"/>
      <c r="C26" s="89"/>
      <c r="D26" s="81"/>
      <c r="E26" s="92"/>
      <c r="F26" s="70"/>
    </row>
    <row r="27" ht="16.5" customHeight="1">
      <c r="A27" s="63"/>
      <c r="B27" s="75"/>
      <c r="C27" s="89"/>
      <c r="D27" s="81"/>
      <c r="E27" s="92"/>
      <c r="F27" s="70"/>
    </row>
    <row r="28" ht="16.5" customHeight="1">
      <c r="A28" s="63"/>
      <c r="B28" s="75"/>
      <c r="C28" s="89"/>
      <c r="D28" s="81"/>
      <c r="E28" s="92"/>
      <c r="F28" s="70"/>
    </row>
    <row r="29" ht="16.5" customHeight="1">
      <c r="A29" s="63"/>
      <c r="B29" s="75"/>
      <c r="C29" s="89"/>
      <c r="D29" s="81"/>
      <c r="E29" s="92"/>
      <c r="F29" s="70"/>
    </row>
    <row r="30" ht="16.5" customHeight="1">
      <c r="A30" s="63"/>
      <c r="B30" s="75"/>
      <c r="C30" s="89"/>
      <c r="D30" s="81"/>
      <c r="E30" s="92"/>
      <c r="F30" s="70"/>
    </row>
    <row r="31" ht="16.5" customHeight="1">
      <c r="A31" s="63"/>
      <c r="B31" s="75"/>
      <c r="C31" s="89"/>
      <c r="D31" s="81"/>
      <c r="E31" s="92"/>
      <c r="F31" s="70"/>
    </row>
    <row r="32" ht="16.5" customHeight="1">
      <c r="A32" s="114"/>
      <c r="B32" s="116"/>
      <c r="C32" s="118"/>
      <c r="D32" s="116"/>
      <c r="E32" s="120"/>
      <c r="F32" s="70"/>
    </row>
    <row r="33" ht="16.5" customHeight="1">
      <c r="A33" s="122"/>
      <c r="B33" s="124"/>
      <c r="C33" s="125"/>
      <c r="D33" s="124"/>
      <c r="E33" s="127"/>
      <c r="F33" s="70"/>
    </row>
    <row r="34" ht="16.5" customHeight="1">
      <c r="A34" s="122"/>
      <c r="B34" s="124"/>
      <c r="C34" s="125"/>
      <c r="D34" s="124"/>
      <c r="E34" s="127"/>
      <c r="F34" s="70"/>
    </row>
    <row r="35" ht="16.5" customHeight="1">
      <c r="A35" s="122"/>
      <c r="B35" s="124"/>
      <c r="C35" s="125"/>
      <c r="D35" s="124"/>
      <c r="E35" s="127"/>
      <c r="F35" s="70"/>
    </row>
    <row r="36" ht="16.5" customHeight="1">
      <c r="A36" s="122"/>
      <c r="B36" s="124"/>
      <c r="C36" s="125"/>
      <c r="D36" s="124"/>
      <c r="E36" s="127"/>
      <c r="F36" s="70"/>
    </row>
    <row r="37" ht="16.5" customHeight="1">
      <c r="A37" s="122"/>
      <c r="B37" s="124"/>
      <c r="C37" s="125"/>
      <c r="D37" s="124"/>
      <c r="E37" s="127"/>
      <c r="F37" s="70"/>
    </row>
    <row r="38" ht="16.5" customHeight="1">
      <c r="A38" s="122"/>
      <c r="B38" s="124"/>
      <c r="C38" s="125"/>
      <c r="D38" s="124"/>
      <c r="E38" s="127"/>
      <c r="F38" s="70"/>
    </row>
    <row r="39" ht="16.5" customHeight="1">
      <c r="A39" s="122"/>
      <c r="B39" s="124"/>
      <c r="C39" s="125"/>
      <c r="D39" s="124"/>
      <c r="E39" s="127"/>
      <c r="F39" s="70"/>
    </row>
    <row r="40" ht="16.5" customHeight="1">
      <c r="A40" s="122"/>
      <c r="B40" s="124"/>
      <c r="C40" s="125"/>
      <c r="D40" s="124"/>
      <c r="E40" s="127"/>
      <c r="F40" s="70"/>
    </row>
    <row r="41" ht="16.5" customHeight="1">
      <c r="A41" s="122"/>
      <c r="B41" s="124"/>
      <c r="C41" s="125"/>
      <c r="D41" s="124"/>
      <c r="E41" s="127"/>
      <c r="F41" s="70"/>
    </row>
    <row r="42" ht="16.5" customHeight="1">
      <c r="A42" s="122"/>
      <c r="B42" s="124"/>
      <c r="C42" s="125"/>
      <c r="D42" s="124"/>
      <c r="E42" s="127"/>
      <c r="F42" s="70"/>
    </row>
    <row r="43" ht="16.5" customHeight="1">
      <c r="A43" s="122"/>
      <c r="B43" s="124"/>
      <c r="C43" s="125"/>
      <c r="D43" s="124"/>
      <c r="E43" s="127"/>
      <c r="F43" s="70"/>
    </row>
    <row r="44" ht="16.5" customHeight="1">
      <c r="A44" s="122"/>
      <c r="B44" s="124"/>
      <c r="C44" s="125"/>
      <c r="D44" s="124"/>
      <c r="E44" s="127"/>
      <c r="F44" s="70"/>
    </row>
    <row r="45" ht="16.5" customHeight="1">
      <c r="A45" s="122"/>
      <c r="B45" s="124"/>
      <c r="C45" s="125"/>
      <c r="D45" s="124"/>
      <c r="E45" s="127"/>
      <c r="F45" s="70"/>
    </row>
  </sheetData>
  <mergeCells count="2">
    <mergeCell ref="B2:E2"/>
    <mergeCell ref="B3:E3"/>
  </mergeCells>
  <dataValidations>
    <dataValidation type="list" allowBlank="1" showInputMessage="1" showErrorMessage="1" prompt="Select from categories listed in the &quot;Categories&quot; sheet or update the &quot;Categories&quot; sheet." sqref="B7:B45">
      <formula1>Categories!$B:$B</formula1>
    </dataValidation>
    <dataValidation type="custom" allowBlank="1" showInputMessage="1" prompt="Money spent should be negative. The amount should only be positive if it is a refund, credit, return, etc." sqref="E7:E45">
      <formula1>IF(AND(E7&gt;0,IFERROR(MATCH(B7,Categories!$B$7:$B$24,0),FALSE)),FALSE,TRUE)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sheetViews>
  <sheetFormatPr customHeight="1" defaultColWidth="12.63" defaultRowHeight="15.75"/>
  <cols>
    <col customWidth="1" min="1" max="1" width="4.5"/>
    <col customWidth="1" min="2" max="2" width="23.0"/>
    <col customWidth="1" min="3" max="4" width="30.5"/>
    <col customWidth="1" min="5" max="5" width="4.5"/>
  </cols>
  <sheetData>
    <row r="1" ht="22.5" customHeight="1">
      <c r="A1" s="1"/>
      <c r="B1" s="2"/>
      <c r="C1" s="3"/>
      <c r="D1" s="3"/>
      <c r="E1" s="3"/>
    </row>
    <row r="2" ht="30.0" customHeight="1">
      <c r="A2" s="1"/>
      <c r="B2" s="5" t="s">
        <v>107</v>
      </c>
      <c r="C2" s="6"/>
      <c r="D2" s="8"/>
      <c r="E2" s="9"/>
    </row>
    <row r="3" ht="15.0" customHeight="1">
      <c r="A3" s="1"/>
      <c r="B3" s="10" t="s">
        <v>108</v>
      </c>
      <c r="C3" s="3"/>
      <c r="D3" s="3"/>
      <c r="E3" s="3"/>
    </row>
    <row r="4" ht="26.25" customHeight="1">
      <c r="A4" s="1"/>
      <c r="B4" s="11"/>
      <c r="C4" s="3"/>
      <c r="D4" s="3"/>
      <c r="E4" s="3"/>
    </row>
    <row r="5" ht="45.0" customHeight="1">
      <c r="A5" s="196"/>
      <c r="B5" s="197" t="s">
        <v>109</v>
      </c>
      <c r="C5" s="197"/>
      <c r="D5" s="198">
        <f>'Profit &amp; Loss'!S10</f>
        <v>3100</v>
      </c>
      <c r="E5" s="196"/>
    </row>
    <row r="6" ht="45.0" customHeight="1">
      <c r="A6" s="199"/>
      <c r="B6" s="15" t="s">
        <v>110</v>
      </c>
      <c r="C6" s="200"/>
      <c r="D6" s="201">
        <f>'Profit &amp; Loss'!$S$41</f>
        <v>2700</v>
      </c>
      <c r="E6" s="199"/>
    </row>
    <row r="7">
      <c r="A7" s="199"/>
      <c r="B7" s="15"/>
      <c r="C7" s="200"/>
      <c r="D7" s="201"/>
      <c r="E7" s="199"/>
    </row>
    <row r="8">
      <c r="A8" s="199"/>
      <c r="B8" s="202" t="s">
        <v>111</v>
      </c>
      <c r="C8" s="203"/>
      <c r="D8" s="205"/>
      <c r="E8" s="206"/>
    </row>
    <row r="9">
      <c r="A9" s="199"/>
      <c r="B9" s="202" t="str">
        <f>IFERROR(__xludf.DUMMYFUNCTION("QUERY(B26:D38,""select B,C,D where C&lt;&gt;0 OR D&lt;&gt;0"")"),"Month")</f>
        <v>Month</v>
      </c>
      <c r="C9" s="203" t="str">
        <f>IFERROR(__xludf.DUMMYFUNCTION("""COMPUTED_VALUE"""),"Sales ")</f>
        <v>Sales </v>
      </c>
      <c r="D9" s="205" t="str">
        <f>IFERROR(__xludf.DUMMYFUNCTION("""COMPUTED_VALUE"""),"Profit (Loss)")</f>
        <v>Profit (Loss)</v>
      </c>
      <c r="E9" s="206"/>
    </row>
    <row r="10">
      <c r="A10" s="199"/>
      <c r="B10" s="209">
        <f>IFERROR(__xludf.DUMMYFUNCTION("""COMPUTED_VALUE"""),2.0)</f>
        <v>2</v>
      </c>
      <c r="C10" s="210">
        <f>IFERROR(__xludf.DUMMYFUNCTION("""COMPUTED_VALUE"""),800.0)</f>
        <v>800</v>
      </c>
      <c r="D10" s="205">
        <f>IFERROR(__xludf.DUMMYFUNCTION("""COMPUTED_VALUE"""),550.0)</f>
        <v>550</v>
      </c>
      <c r="E10" s="206"/>
    </row>
    <row r="11">
      <c r="A11" s="199"/>
      <c r="B11" s="209">
        <f>IFERROR(__xludf.DUMMYFUNCTION("""COMPUTED_VALUE"""),33.0)</f>
        <v>33</v>
      </c>
      <c r="C11" s="210">
        <f>IFERROR(__xludf.DUMMYFUNCTION("""COMPUTED_VALUE"""),1100.0)</f>
        <v>1100</v>
      </c>
      <c r="D11" s="205">
        <f>IFERROR(__xludf.DUMMYFUNCTION("""COMPUTED_VALUE"""),950.0)</f>
        <v>950</v>
      </c>
      <c r="E11" s="206"/>
    </row>
    <row r="12">
      <c r="A12" s="199"/>
      <c r="B12" s="209">
        <f>IFERROR(__xludf.DUMMYFUNCTION("""COMPUTED_VALUE"""),61.0)</f>
        <v>61</v>
      </c>
      <c r="C12" s="210">
        <f>IFERROR(__xludf.DUMMYFUNCTION("""COMPUTED_VALUE"""),1200.0)</f>
        <v>1200</v>
      </c>
      <c r="D12" s="205">
        <f>IFERROR(__xludf.DUMMYFUNCTION("""COMPUTED_VALUE"""),1200.0)</f>
        <v>1200</v>
      </c>
      <c r="E12" s="206"/>
    </row>
    <row r="13">
      <c r="A13" s="199"/>
      <c r="B13" s="211"/>
      <c r="C13" s="203"/>
      <c r="D13" s="205"/>
      <c r="E13" s="206"/>
    </row>
    <row r="14">
      <c r="A14" s="199"/>
      <c r="B14" s="211"/>
      <c r="C14" s="203"/>
      <c r="D14" s="205"/>
      <c r="E14" s="206"/>
    </row>
    <row r="15">
      <c r="A15" s="199"/>
      <c r="B15" s="211"/>
      <c r="C15" s="203"/>
      <c r="D15" s="205"/>
      <c r="E15" s="206"/>
    </row>
    <row r="16">
      <c r="A16" s="199"/>
      <c r="B16" s="211"/>
      <c r="C16" s="203"/>
      <c r="D16" s="205"/>
      <c r="E16" s="206"/>
    </row>
    <row r="17">
      <c r="A17" s="199"/>
      <c r="B17" s="211"/>
      <c r="C17" s="203"/>
      <c r="D17" s="205"/>
      <c r="E17" s="206"/>
    </row>
    <row r="18">
      <c r="A18" s="199"/>
      <c r="B18" s="211"/>
      <c r="C18" s="203"/>
      <c r="D18" s="205"/>
      <c r="E18" s="206"/>
    </row>
    <row r="19">
      <c r="A19" s="199"/>
      <c r="B19" s="211"/>
      <c r="C19" s="203"/>
      <c r="D19" s="205"/>
      <c r="E19" s="206"/>
    </row>
    <row r="20">
      <c r="A20" s="199"/>
      <c r="B20" s="211"/>
      <c r="C20" s="203"/>
      <c r="D20" s="205"/>
      <c r="E20" s="206"/>
    </row>
    <row r="21">
      <c r="A21" s="199"/>
      <c r="B21" s="211"/>
      <c r="C21" s="203"/>
      <c r="D21" s="205"/>
      <c r="E21" s="206"/>
    </row>
    <row r="22">
      <c r="A22" s="199"/>
      <c r="B22" s="211"/>
      <c r="C22" s="203"/>
      <c r="D22" s="205"/>
      <c r="E22" s="206"/>
    </row>
    <row r="23">
      <c r="A23" s="199"/>
      <c r="B23" s="211"/>
      <c r="C23" s="203"/>
      <c r="D23" s="205"/>
      <c r="E23" s="206"/>
    </row>
    <row r="24">
      <c r="A24" s="199"/>
      <c r="B24" s="15"/>
      <c r="C24" s="200"/>
      <c r="D24" s="201"/>
      <c r="E24" s="199"/>
    </row>
    <row r="25" ht="11.25" customHeight="1">
      <c r="A25" s="199"/>
      <c r="B25" s="15"/>
      <c r="C25" s="200"/>
      <c r="D25" s="201"/>
      <c r="E25" s="199"/>
    </row>
    <row r="26" ht="27.0" customHeight="1">
      <c r="A26" s="212"/>
      <c r="B26" s="213" t="s">
        <v>112</v>
      </c>
      <c r="C26" s="214" t="s">
        <v>23</v>
      </c>
      <c r="D26" s="215" t="s">
        <v>113</v>
      </c>
      <c r="E26" s="216"/>
    </row>
    <row r="27">
      <c r="A27" s="217"/>
      <c r="B27" s="218">
        <f>'Profit &amp; Loss'!G4</f>
        <v>2</v>
      </c>
      <c r="C27" s="219">
        <f>'Profit &amp; Loss'!$G$10</f>
        <v>800</v>
      </c>
      <c r="D27" s="219">
        <f>'Profit &amp; Loss'!$G$41</f>
        <v>550</v>
      </c>
      <c r="E27" s="220"/>
    </row>
    <row r="28">
      <c r="A28" s="217"/>
      <c r="B28" s="221">
        <f>'Profit &amp; Loss'!H4</f>
        <v>33</v>
      </c>
      <c r="C28" s="219">
        <f>'Profit &amp; Loss'!$H$10</f>
        <v>1100</v>
      </c>
      <c r="D28" s="219">
        <f>'Profit &amp; Loss'!$H$41</f>
        <v>950</v>
      </c>
      <c r="E28" s="220"/>
    </row>
    <row r="29">
      <c r="A29" s="217"/>
      <c r="B29" s="218">
        <f>'Profit &amp; Loss'!I4</f>
        <v>61</v>
      </c>
      <c r="C29" s="219">
        <f>'Profit &amp; Loss'!$I$10</f>
        <v>1200</v>
      </c>
      <c r="D29" s="219">
        <f>'Profit &amp; Loss'!$I$41</f>
        <v>1200</v>
      </c>
      <c r="E29" s="220"/>
    </row>
    <row r="30">
      <c r="A30" s="217"/>
      <c r="B30" s="221">
        <f>'Profit &amp; Loss'!J4</f>
        <v>92</v>
      </c>
      <c r="C30" s="219">
        <f>'Profit &amp; Loss'!$J$10</f>
        <v>0</v>
      </c>
      <c r="D30" s="219">
        <f>'Profit &amp; Loss'!$J$41</f>
        <v>0</v>
      </c>
      <c r="E30" s="220"/>
    </row>
    <row r="31">
      <c r="A31" s="217"/>
      <c r="B31" s="218">
        <f>'Profit &amp; Loss'!K4</f>
        <v>122</v>
      </c>
      <c r="C31" s="219">
        <f>'Profit &amp; Loss'!$K$10</f>
        <v>0</v>
      </c>
      <c r="D31" s="219">
        <f>'Profit &amp; Loss'!$K$41</f>
        <v>0</v>
      </c>
      <c r="E31" s="220"/>
    </row>
    <row r="32">
      <c r="A32" s="217"/>
      <c r="B32" s="221">
        <f>'Profit &amp; Loss'!L4</f>
        <v>153</v>
      </c>
      <c r="C32" s="219">
        <f>'Profit &amp; Loss'!$L$10</f>
        <v>0</v>
      </c>
      <c r="D32" s="219">
        <f>'Profit &amp; Loss'!$L$41</f>
        <v>0</v>
      </c>
      <c r="E32" s="220"/>
    </row>
    <row r="33">
      <c r="A33" s="217"/>
      <c r="B33" s="218">
        <f>'Profit &amp; Loss'!M4</f>
        <v>183</v>
      </c>
      <c r="C33" s="219">
        <f>'Profit &amp; Loss'!$M$10</f>
        <v>0</v>
      </c>
      <c r="D33" s="219">
        <f>'Profit &amp; Loss'!$M$41</f>
        <v>0</v>
      </c>
      <c r="E33" s="220"/>
    </row>
    <row r="34">
      <c r="A34" s="217"/>
      <c r="B34" s="221">
        <f>'Profit &amp; Loss'!N4</f>
        <v>214</v>
      </c>
      <c r="C34" s="219">
        <f>'Profit &amp; Loss'!$N$10</f>
        <v>0</v>
      </c>
      <c r="D34" s="219">
        <f>'Profit &amp; Loss'!$N$41</f>
        <v>0</v>
      </c>
      <c r="E34" s="220"/>
    </row>
    <row r="35">
      <c r="A35" s="217"/>
      <c r="B35" s="218">
        <f>'Profit &amp; Loss'!O4</f>
        <v>245</v>
      </c>
      <c r="C35" s="219">
        <f>'Profit &amp; Loss'!$O$10</f>
        <v>0</v>
      </c>
      <c r="D35" s="219">
        <f>'Profit &amp; Loss'!$O$41</f>
        <v>0</v>
      </c>
      <c r="E35" s="220"/>
    </row>
    <row r="36">
      <c r="A36" s="217"/>
      <c r="B36" s="221">
        <f>'Profit &amp; Loss'!P4</f>
        <v>275</v>
      </c>
      <c r="C36" s="219">
        <f>'Profit &amp; Loss'!$P$10</f>
        <v>0</v>
      </c>
      <c r="D36" s="219">
        <f>'Profit &amp; Loss'!$P$41</f>
        <v>0</v>
      </c>
      <c r="E36" s="220"/>
    </row>
    <row r="37">
      <c r="A37" s="217"/>
      <c r="B37" s="218">
        <f>'Profit &amp; Loss'!Q4</f>
        <v>306</v>
      </c>
      <c r="C37" s="219">
        <f>'Profit &amp; Loss'!$Q$10</f>
        <v>0</v>
      </c>
      <c r="D37" s="219">
        <f>'Profit &amp; Loss'!$Q$41</f>
        <v>0</v>
      </c>
      <c r="E37" s="220"/>
    </row>
    <row r="38">
      <c r="A38" s="217"/>
      <c r="B38" s="221">
        <f>'Profit &amp; Loss'!R4</f>
        <v>336</v>
      </c>
      <c r="C38" s="219">
        <f>'Profit &amp; Loss'!$R$10</f>
        <v>0</v>
      </c>
      <c r="D38" s="219">
        <f>'Profit &amp; Loss'!$R$41</f>
        <v>0</v>
      </c>
      <c r="E38" s="220"/>
    </row>
    <row r="39" ht="11.25" customHeight="1">
      <c r="A39" s="217"/>
      <c r="B39" s="217"/>
      <c r="C39" s="217"/>
      <c r="D39" s="217"/>
      <c r="E39" s="220"/>
    </row>
    <row r="40" ht="27.0" customHeight="1">
      <c r="A40" s="222"/>
      <c r="B40" s="223" t="s">
        <v>114</v>
      </c>
      <c r="C40" s="224"/>
      <c r="D40" s="225"/>
      <c r="E40" s="226"/>
    </row>
    <row r="41" ht="18.0" customHeight="1">
      <c r="A41" s="227"/>
      <c r="B41" s="228">
        <f>IFERROR(__xludf.DUMMYFUNCTION("if (ISError(query(B27:D38,""select B,C where (C&lt;&gt;0) order by C desc limit 3"",-1)), """", query(B27:D38,""select B,C where (C&lt;&gt;0) order by C desc limit 3"",-1))"),61.0)</f>
        <v>61</v>
      </c>
      <c r="C41" s="229">
        <f>IFERROR(__xludf.DUMMYFUNCTION("""COMPUTED_VALUE"""),1200.0)</f>
        <v>1200</v>
      </c>
      <c r="D41" s="167"/>
      <c r="E41" s="139"/>
    </row>
    <row r="42" ht="18.0" customHeight="1">
      <c r="A42" s="227"/>
      <c r="B42" s="228">
        <f>IFERROR(__xludf.DUMMYFUNCTION("""COMPUTED_VALUE"""),33.0)</f>
        <v>33</v>
      </c>
      <c r="C42" s="229">
        <f>IFERROR(__xludf.DUMMYFUNCTION("""COMPUTED_VALUE"""),1100.0)</f>
        <v>1100</v>
      </c>
      <c r="D42" s="167"/>
      <c r="E42" s="139"/>
    </row>
    <row r="43" ht="18.0" customHeight="1">
      <c r="A43" s="227"/>
      <c r="B43" s="228">
        <f>IFERROR(__xludf.DUMMYFUNCTION("""COMPUTED_VALUE"""),2.0)</f>
        <v>2</v>
      </c>
      <c r="C43" s="229">
        <f>IFERROR(__xludf.DUMMYFUNCTION("""COMPUTED_VALUE"""),800.0)</f>
        <v>800</v>
      </c>
      <c r="D43" s="167"/>
      <c r="E43" s="139"/>
    </row>
    <row r="44" ht="11.25" customHeight="1">
      <c r="A44" s="227"/>
      <c r="B44" s="227"/>
      <c r="C44" s="230"/>
      <c r="D44" s="167"/>
      <c r="E44" s="139"/>
    </row>
    <row r="45" ht="27.0" customHeight="1">
      <c r="A45" s="231"/>
      <c r="B45" s="223" t="s">
        <v>115</v>
      </c>
      <c r="C45" s="232"/>
      <c r="D45" s="167"/>
      <c r="E45" s="139"/>
    </row>
    <row r="46" ht="18.0" customHeight="1">
      <c r="A46" s="227"/>
      <c r="B46" s="228">
        <f>IFERROR(__xludf.DUMMYFUNCTION("if (ISError(query(B27:D38,""select B,C where (C&lt;&gt;0) order by C asc limit 3"",-1)), """", query(B27:D38,""select B,C where (C&lt;&gt;0) order by C asc limit 3"",-1))"),2.0)</f>
        <v>2</v>
      </c>
      <c r="C46" s="229">
        <f>IFERROR(__xludf.DUMMYFUNCTION("""COMPUTED_VALUE"""),800.0)</f>
        <v>800</v>
      </c>
      <c r="D46" s="167"/>
      <c r="E46" s="139"/>
    </row>
    <row r="47" ht="18.0" customHeight="1">
      <c r="A47" s="227"/>
      <c r="B47" s="228">
        <f>IFERROR(__xludf.DUMMYFUNCTION("""COMPUTED_VALUE"""),33.0)</f>
        <v>33</v>
      </c>
      <c r="C47" s="229">
        <f>IFERROR(__xludf.DUMMYFUNCTION("""COMPUTED_VALUE"""),1100.0)</f>
        <v>1100</v>
      </c>
      <c r="D47" s="167"/>
      <c r="E47" s="139"/>
    </row>
    <row r="48" ht="18.0" customHeight="1">
      <c r="A48" s="227"/>
      <c r="B48" s="228">
        <f>IFERROR(__xludf.DUMMYFUNCTION("""COMPUTED_VALUE"""),61.0)</f>
        <v>61</v>
      </c>
      <c r="C48" s="229">
        <f>IFERROR(__xludf.DUMMYFUNCTION("""COMPUTED_VALUE"""),1200.0)</f>
        <v>1200</v>
      </c>
      <c r="D48" s="167"/>
      <c r="E48" s="139"/>
    </row>
    <row r="49" ht="11.25" customHeight="1">
      <c r="A49" s="231"/>
      <c r="B49" s="231"/>
      <c r="C49" s="233" t="s">
        <v>116</v>
      </c>
      <c r="D49" s="167"/>
      <c r="E49" s="139"/>
    </row>
    <row r="50" ht="27.0" customHeight="1">
      <c r="A50" s="222"/>
      <c r="B50" s="223" t="s">
        <v>117</v>
      </c>
      <c r="C50" s="234"/>
      <c r="D50" s="235"/>
      <c r="E50" s="166"/>
    </row>
    <row r="51" ht="18.0" customHeight="1">
      <c r="A51" s="227"/>
      <c r="B51" s="228">
        <f>IFERROR(__xludf.DUMMYFUNCTION("if (ISError(query(B$27:D$38,""select B,D where (C&lt;&gt;0) order by D desc limit 3"",-1)), """", query(B$27:D$38,""select B,D where (C&lt;&gt;0)  order by D desc limit 3"",-1))"),61.0)</f>
        <v>61</v>
      </c>
      <c r="C51" s="229">
        <f>IFERROR(__xludf.DUMMYFUNCTION("""COMPUTED_VALUE"""),1200.0)</f>
        <v>1200</v>
      </c>
      <c r="D51" s="236"/>
      <c r="E51" s="139"/>
    </row>
    <row r="52" ht="18.0" customHeight="1">
      <c r="A52" s="227"/>
      <c r="B52" s="228">
        <f>IFERROR(__xludf.DUMMYFUNCTION("""COMPUTED_VALUE"""),33.0)</f>
        <v>33</v>
      </c>
      <c r="C52" s="229">
        <f>IFERROR(__xludf.DUMMYFUNCTION("""COMPUTED_VALUE"""),950.0)</f>
        <v>950</v>
      </c>
      <c r="D52" s="167"/>
      <c r="E52" s="139"/>
    </row>
    <row r="53" ht="18.0" customHeight="1">
      <c r="A53" s="227"/>
      <c r="B53" s="228">
        <f>IFERROR(__xludf.DUMMYFUNCTION("""COMPUTED_VALUE"""),2.0)</f>
        <v>2</v>
      </c>
      <c r="C53" s="229">
        <f>IFERROR(__xludf.DUMMYFUNCTION("""COMPUTED_VALUE"""),550.0)</f>
        <v>550</v>
      </c>
      <c r="D53" s="167"/>
      <c r="E53" s="167"/>
    </row>
    <row r="54" ht="11.25" customHeight="1">
      <c r="A54" s="230"/>
      <c r="B54" s="230"/>
      <c r="C54" s="238"/>
      <c r="D54" s="230"/>
      <c r="E54" s="230"/>
    </row>
    <row r="55" ht="27.0" customHeight="1">
      <c r="A55" s="222"/>
      <c r="B55" s="223" t="s">
        <v>118</v>
      </c>
      <c r="C55" s="234"/>
      <c r="D55" s="239"/>
      <c r="E55" s="239"/>
    </row>
    <row r="56" ht="18.0" customHeight="1">
      <c r="A56" s="227"/>
      <c r="B56" s="228">
        <f>IFERROR(__xludf.DUMMYFUNCTION("if (ISError(query(B$27:D$38,""select B,D where (C&lt;&gt;0 or D&lt;&gt;0) order by D asc limit 3"",-1)), """", query(B$27:D$38,""select B,D where (C&lt;&gt;0 or D&lt;&gt;0) order by D asc limit 3"",-1))"),2.0)</f>
        <v>2</v>
      </c>
      <c r="C56" s="229">
        <f>IFERROR(__xludf.DUMMYFUNCTION("""COMPUTED_VALUE"""),550.0)</f>
        <v>550</v>
      </c>
      <c r="D56" s="230"/>
      <c r="E56" s="230"/>
    </row>
    <row r="57" ht="18.0" customHeight="1">
      <c r="A57" s="227"/>
      <c r="B57" s="228">
        <f>IFERROR(__xludf.DUMMYFUNCTION("""COMPUTED_VALUE"""),33.0)</f>
        <v>33</v>
      </c>
      <c r="C57" s="229">
        <f>IFERROR(__xludf.DUMMYFUNCTION("""COMPUTED_VALUE"""),950.0)</f>
        <v>950</v>
      </c>
      <c r="D57" s="230"/>
      <c r="E57" s="230"/>
    </row>
    <row r="58" ht="18.0" customHeight="1">
      <c r="A58" s="227"/>
      <c r="B58" s="228">
        <f>IFERROR(__xludf.DUMMYFUNCTION("""COMPUTED_VALUE"""),61.0)</f>
        <v>61</v>
      </c>
      <c r="C58" s="229">
        <f>IFERROR(__xludf.DUMMYFUNCTION("""COMPUTED_VALUE"""),1200.0)</f>
        <v>1200</v>
      </c>
      <c r="D58" s="230"/>
      <c r="E58" s="230"/>
    </row>
    <row r="59" ht="15.0" customHeight="1">
      <c r="A59" s="227"/>
      <c r="B59" s="241"/>
      <c r="C59" s="242"/>
      <c r="D59" s="243"/>
      <c r="E59" s="230"/>
    </row>
    <row r="60" ht="14.25" customHeight="1">
      <c r="A60" s="227"/>
      <c r="B60" s="241" t="s">
        <v>111</v>
      </c>
      <c r="C60" s="244"/>
      <c r="D60" s="243"/>
      <c r="E60" s="230"/>
    </row>
    <row r="61" ht="14.25" customHeight="1">
      <c r="A61" s="227"/>
      <c r="B61" s="241" t="str">
        <f>IFERROR(__xludf.DUMMYFUNCTION("FILTER({'Profit &amp; Loss'!F21:F38,'Profit &amp; Loss'!S21:S38},'Profit &amp; Loss'!S21:S38&gt;0)"),"Repairs")</f>
        <v>Repairs</v>
      </c>
      <c r="C61" s="242">
        <f>IFERROR(__xludf.DUMMYFUNCTION("""COMPUTED_VALUE"""),150.0)</f>
        <v>150</v>
      </c>
      <c r="D61" s="243"/>
      <c r="E61" s="230"/>
    </row>
    <row r="62" ht="14.25" customHeight="1">
      <c r="A62" s="227"/>
      <c r="B62" s="241" t="str">
        <f>IFERROR(__xludf.DUMMYFUNCTION("""COMPUTED_VALUE"""),"Travel")</f>
        <v>Travel</v>
      </c>
      <c r="C62" s="242">
        <f>IFERROR(__xludf.DUMMYFUNCTION("""COMPUTED_VALUE"""),250.0)</f>
        <v>250</v>
      </c>
      <c r="D62" s="243"/>
      <c r="E62" s="230"/>
    </row>
    <row r="63" ht="14.25" customHeight="1">
      <c r="A63" s="227"/>
      <c r="B63" s="241"/>
      <c r="C63" s="242"/>
      <c r="D63" s="243"/>
      <c r="E63" s="230"/>
    </row>
    <row r="64" ht="14.25" customHeight="1">
      <c r="A64" s="227"/>
      <c r="B64" s="241"/>
      <c r="C64" s="242"/>
      <c r="D64" s="243"/>
      <c r="E64" s="230"/>
    </row>
    <row r="65" ht="14.25" customHeight="1">
      <c r="A65" s="227"/>
      <c r="B65" s="241"/>
      <c r="C65" s="242"/>
      <c r="D65" s="243"/>
      <c r="E65" s="230"/>
    </row>
    <row r="66" ht="14.25" customHeight="1">
      <c r="A66" s="227"/>
      <c r="B66" s="241"/>
      <c r="C66" s="242"/>
      <c r="D66" s="243"/>
      <c r="E66" s="230"/>
    </row>
    <row r="67" ht="14.25" customHeight="1">
      <c r="A67" s="227"/>
      <c r="B67" s="241"/>
      <c r="C67" s="242"/>
      <c r="D67" s="243"/>
      <c r="E67" s="230"/>
    </row>
    <row r="68" ht="14.25" customHeight="1">
      <c r="A68" s="227"/>
      <c r="B68" s="241"/>
      <c r="C68" s="242"/>
      <c r="D68" s="243"/>
      <c r="E68" s="230"/>
    </row>
    <row r="69" ht="14.25" customHeight="1">
      <c r="A69" s="227"/>
      <c r="B69" s="241"/>
      <c r="C69" s="242"/>
      <c r="D69" s="243"/>
      <c r="E69" s="230"/>
    </row>
    <row r="70" ht="14.25" customHeight="1">
      <c r="A70" s="227"/>
      <c r="B70" s="241"/>
      <c r="C70" s="242"/>
      <c r="D70" s="243"/>
      <c r="E70" s="230"/>
    </row>
    <row r="71" ht="14.25" customHeight="1">
      <c r="A71" s="227"/>
      <c r="B71" s="241"/>
      <c r="C71" s="242"/>
      <c r="D71" s="243"/>
      <c r="E71" s="230"/>
    </row>
    <row r="72" ht="14.25" customHeight="1">
      <c r="A72" s="227"/>
      <c r="B72" s="241"/>
      <c r="C72" s="242"/>
      <c r="D72" s="243"/>
      <c r="E72" s="230"/>
    </row>
    <row r="73" ht="14.25" customHeight="1">
      <c r="A73" s="227"/>
      <c r="B73" s="241"/>
      <c r="C73" s="242"/>
      <c r="D73" s="243"/>
      <c r="E73" s="230"/>
    </row>
    <row r="74" ht="14.25" customHeight="1">
      <c r="A74" s="227"/>
      <c r="B74" s="241"/>
      <c r="C74" s="242"/>
      <c r="D74" s="243"/>
      <c r="E74" s="230"/>
    </row>
    <row r="75" ht="14.25" customHeight="1">
      <c r="A75" s="227"/>
      <c r="B75" s="241"/>
      <c r="C75" s="242"/>
      <c r="D75" s="243"/>
      <c r="E75" s="230"/>
    </row>
    <row r="76" ht="14.25" customHeight="1">
      <c r="A76" s="227"/>
      <c r="B76" s="241"/>
      <c r="C76" s="242"/>
      <c r="D76" s="243"/>
      <c r="E76" s="230"/>
    </row>
    <row r="77" ht="14.25" customHeight="1">
      <c r="A77" s="227"/>
      <c r="B77" s="241"/>
      <c r="C77" s="242"/>
      <c r="D77" s="243"/>
      <c r="E77" s="230"/>
    </row>
    <row r="78" ht="14.25" customHeight="1">
      <c r="A78" s="227"/>
      <c r="B78" s="241"/>
      <c r="C78" s="242"/>
      <c r="D78" s="243"/>
      <c r="E78" s="230"/>
    </row>
    <row r="79" ht="14.25" customHeight="1">
      <c r="A79" s="227"/>
      <c r="B79" s="241"/>
      <c r="C79" s="242"/>
      <c r="D79" s="243"/>
      <c r="E79" s="230"/>
    </row>
    <row r="80" ht="14.25" customHeight="1">
      <c r="A80" s="227"/>
      <c r="B80" s="241"/>
      <c r="C80" s="242"/>
      <c r="D80" s="243"/>
      <c r="E80" s="230"/>
    </row>
    <row r="81" ht="14.25" customHeight="1">
      <c r="A81" s="227"/>
      <c r="B81" s="241"/>
      <c r="C81" s="242"/>
      <c r="D81" s="243"/>
      <c r="E81" s="230"/>
    </row>
    <row r="82" ht="11.25" customHeight="1">
      <c r="A82" s="222"/>
      <c r="B82" s="245"/>
      <c r="C82" s="246"/>
      <c r="D82" s="246"/>
      <c r="E82" s="239"/>
    </row>
    <row r="83" ht="27.0" customHeight="1">
      <c r="A83" s="222"/>
      <c r="B83" s="223" t="s">
        <v>119</v>
      </c>
      <c r="C83" s="224"/>
      <c r="D83" s="239"/>
      <c r="E83" s="239"/>
    </row>
    <row r="84">
      <c r="A84" s="227"/>
      <c r="B84" s="247" t="str">
        <f>IFERROR(__xludf.DUMMYFUNCTION("query('Profit &amp; Loss'!F21:S38,""select F,S order by S desc limit 3"",-1)"),"Travel")</f>
        <v>Travel</v>
      </c>
      <c r="C84" s="248">
        <f>IFERROR(__xludf.DUMMYFUNCTION("""COMPUTED_VALUE"""),250.0)</f>
        <v>250</v>
      </c>
      <c r="D84" s="230"/>
      <c r="E84" s="230"/>
    </row>
    <row r="85">
      <c r="A85" s="227"/>
      <c r="B85" s="247" t="str">
        <f>IFERROR(__xludf.DUMMYFUNCTION("""COMPUTED_VALUE"""),"Repairs")</f>
        <v>Repairs</v>
      </c>
      <c r="C85" s="248">
        <f>IFERROR(__xludf.DUMMYFUNCTION("""COMPUTED_VALUE"""),150.0)</f>
        <v>150</v>
      </c>
      <c r="D85" s="230"/>
      <c r="E85" s="230"/>
    </row>
    <row r="86">
      <c r="A86" s="227"/>
      <c r="B86" s="247" t="str">
        <f>IFERROR(__xludf.DUMMYFUNCTION("""COMPUTED_VALUE"""),"Advertising")</f>
        <v>Advertising</v>
      </c>
      <c r="C86" s="248">
        <f>IFERROR(__xludf.DUMMYFUNCTION("""COMPUTED_VALUE"""),0.0)</f>
        <v>0</v>
      </c>
      <c r="D86" s="230"/>
      <c r="E86" s="230"/>
    </row>
    <row r="87" ht="27.0" customHeight="1">
      <c r="A87" s="227"/>
      <c r="B87" s="227"/>
      <c r="C87" s="249"/>
      <c r="D87" s="230"/>
      <c r="E87" s="230"/>
    </row>
  </sheetData>
  <conditionalFormatting sqref="B27:D38 B41 B42 B43 C42 C43 C41 B47 B46 B48 C48 C47 C46 B51 B52 B53 C53 C52 C51 C56 C57 C58 B58 B57 B56 B84 B85 B86 C86 C85 C84">
    <cfRule type="expression" dxfId="3" priority="1">
      <formula>ISODD(ROW())</formula>
    </cfRule>
  </conditionalFormatting>
  <conditionalFormatting sqref="B27:D38 B41 B42 B43 C42 C43 C41 B47 B46 B48 C48 C47 C46 B51 B52 B53 C53 C52 C51 C56 C57 C58 B58 B57 B56 B84 B85 B86 C86 C85 C84">
    <cfRule type="expression" dxfId="4" priority="2">
      <formula>ISEVEN(ROW())</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sheetViews>
  <sheetFormatPr customHeight="1" defaultColWidth="12.63" defaultRowHeight="15.75"/>
  <cols>
    <col customWidth="1" min="1" max="1" width="3.13"/>
    <col customWidth="1" min="2" max="2" width="3.38"/>
    <col customWidth="1" min="3" max="3" width="2.75"/>
    <col customWidth="1" min="4" max="4" width="5.5"/>
    <col customWidth="1" min="5" max="5" width="3.88"/>
    <col customWidth="1" min="6" max="6" width="18.88"/>
    <col customWidth="1" min="7" max="18" width="8.0"/>
    <col customWidth="1" min="20" max="20" width="10.0"/>
    <col customWidth="1" min="21" max="21" width="11.63"/>
    <col customWidth="1" min="22" max="22" width="3.13"/>
  </cols>
  <sheetData>
    <row r="1" ht="22.5" customHeight="1">
      <c r="A1" s="4"/>
      <c r="B1" s="7"/>
      <c r="C1" s="7"/>
      <c r="D1" s="7"/>
      <c r="E1" s="7"/>
      <c r="F1" s="7"/>
      <c r="G1" s="7"/>
      <c r="H1" s="7"/>
      <c r="I1" s="7"/>
      <c r="J1" s="7"/>
      <c r="K1" s="7"/>
      <c r="L1" s="7"/>
      <c r="M1" s="7"/>
      <c r="N1" s="7"/>
      <c r="O1" s="7"/>
      <c r="P1" s="7"/>
      <c r="Q1" s="7"/>
      <c r="R1" s="7"/>
      <c r="S1" s="7"/>
      <c r="T1" s="7"/>
      <c r="U1" s="7"/>
      <c r="V1" s="7"/>
    </row>
    <row r="2" ht="30.0" customHeight="1">
      <c r="A2" s="16"/>
      <c r="B2" s="20" t="s">
        <v>3</v>
      </c>
      <c r="C2" s="20"/>
      <c r="D2" s="20"/>
      <c r="E2" s="20"/>
      <c r="F2" s="20"/>
      <c r="G2" s="24" t="s">
        <v>5</v>
      </c>
      <c r="S2" s="20"/>
      <c r="T2" s="20"/>
      <c r="U2" s="20"/>
      <c r="V2" s="20"/>
    </row>
    <row r="3" ht="22.5" customHeight="1">
      <c r="A3" s="16"/>
      <c r="B3" s="20"/>
      <c r="C3" s="20"/>
      <c r="D3" s="20"/>
      <c r="E3" s="20"/>
      <c r="F3" s="20"/>
      <c r="G3" s="29"/>
      <c r="S3" s="20"/>
      <c r="T3" s="20"/>
      <c r="U3" s="20"/>
      <c r="V3" s="20"/>
    </row>
    <row r="4" ht="25.5" customHeight="1">
      <c r="A4" s="32"/>
      <c r="B4" s="34"/>
      <c r="C4" s="37" t="s">
        <v>12</v>
      </c>
      <c r="D4" s="39"/>
      <c r="E4" s="34"/>
      <c r="F4" s="51" t="s">
        <v>17</v>
      </c>
      <c r="G4" s="59">
        <f>iferror(ifs(F4="January",date(0,1,1),F4="February",date(0,2,1),F4="March",date(0,3,1),F4="April",date(0,4,1),F4="May",date(0,5,1),F4="June",date(0,6,1),F4="July",date(0,7,1),F4="August",date(0,8,1),F4="September",date(0,9,1),F4="October",date(0,10,1),F4="November",date(0,11,1),F4="December",date(0,12,1)),Date(0,3,1))</f>
        <v>2</v>
      </c>
      <c r="H4" s="59">
        <f t="shared" ref="H4:R4" si="1">date(0,MONTH(G$4)+1,1)</f>
        <v>33</v>
      </c>
      <c r="I4" s="59">
        <f t="shared" si="1"/>
        <v>61</v>
      </c>
      <c r="J4" s="59">
        <f t="shared" si="1"/>
        <v>92</v>
      </c>
      <c r="K4" s="59">
        <f t="shared" si="1"/>
        <v>122</v>
      </c>
      <c r="L4" s="59">
        <f t="shared" si="1"/>
        <v>153</v>
      </c>
      <c r="M4" s="59">
        <f t="shared" si="1"/>
        <v>183</v>
      </c>
      <c r="N4" s="59">
        <f t="shared" si="1"/>
        <v>214</v>
      </c>
      <c r="O4" s="59">
        <f t="shared" si="1"/>
        <v>245</v>
      </c>
      <c r="P4" s="59">
        <f t="shared" si="1"/>
        <v>275</v>
      </c>
      <c r="Q4" s="59">
        <f t="shared" si="1"/>
        <v>306</v>
      </c>
      <c r="R4" s="59">
        <f t="shared" si="1"/>
        <v>336</v>
      </c>
      <c r="S4" s="66" t="s">
        <v>27</v>
      </c>
      <c r="T4" s="69" t="s">
        <v>31</v>
      </c>
      <c r="U4" s="71" t="s">
        <v>33</v>
      </c>
      <c r="V4" s="73"/>
    </row>
    <row r="5" ht="42.0" customHeight="1">
      <c r="A5" s="76"/>
      <c r="B5" s="79"/>
      <c r="C5" s="82" t="s">
        <v>35</v>
      </c>
      <c r="D5" s="85"/>
      <c r="E5" s="79"/>
      <c r="F5" s="79"/>
      <c r="G5" s="86"/>
      <c r="H5" s="86"/>
      <c r="I5" s="86"/>
      <c r="J5" s="86"/>
      <c r="K5" s="86"/>
      <c r="L5" s="86"/>
      <c r="M5" s="86"/>
      <c r="N5" s="86"/>
      <c r="O5" s="86"/>
      <c r="P5" s="86"/>
      <c r="Q5" s="86"/>
      <c r="R5" s="86"/>
      <c r="S5" s="87"/>
      <c r="T5" s="79"/>
      <c r="U5" s="88"/>
      <c r="V5" s="90"/>
    </row>
    <row r="6" ht="22.5" customHeight="1">
      <c r="A6" s="91"/>
      <c r="B6" s="93"/>
      <c r="C6" s="94"/>
      <c r="D6" s="93"/>
      <c r="E6" s="95" t="s">
        <v>49</v>
      </c>
      <c r="G6" s="96"/>
      <c r="H6" s="98"/>
      <c r="I6" s="98"/>
      <c r="J6" s="98"/>
      <c r="K6" s="98"/>
      <c r="L6" s="98"/>
      <c r="M6" s="98"/>
      <c r="N6" s="98"/>
      <c r="O6" s="98"/>
      <c r="P6" s="98"/>
      <c r="Q6" s="98"/>
      <c r="R6" s="102"/>
      <c r="S6" s="103"/>
      <c r="T6" s="105"/>
      <c r="U6" s="106"/>
      <c r="V6" s="107"/>
    </row>
    <row r="7">
      <c r="A7" s="108"/>
      <c r="B7" s="109"/>
      <c r="C7" s="110"/>
      <c r="D7" s="109"/>
      <c r="E7" s="93"/>
      <c r="F7" s="111" t="str">
        <f>IFERROR(__xludf.DUMMYFUNCTION("FILTER(Categories!B:B,Categories!C:C=""Revenue"")"),"Sales ")</f>
        <v>Sales </v>
      </c>
      <c r="G7" s="141">
        <f t="array" ref="G7">if(isblank($F7),,SUMIFS(Transactions!$E:$E,Transactions!$B:$B,$F7, MONTH(Transactions!$C:$C),MONTH(G$4)))</f>
        <v>800</v>
      </c>
      <c r="H7" s="154">
        <f t="array" ref="H7">if(isblank($F7),,SUMIFS(Transactions!$E:$E,Transactions!$B:$B,$F7, MONTH(Transactions!$C:$C),MONTH(H$4)))</f>
        <v>1100</v>
      </c>
      <c r="I7" s="154">
        <f t="array" ref="I7">if(isblank($F7),,SUMIFS(Transactions!$E:$E,Transactions!$B:$B,$F7, MONTH(Transactions!$C:$C),MONTH(I$4)))</f>
        <v>1200</v>
      </c>
      <c r="J7" s="154">
        <f t="array" ref="J7">if(isblank($F7),,SUMIFS(Transactions!$E:$E,Transactions!$B:$B,$F7, MONTH(Transactions!$C:$C),MONTH(J$4)))</f>
        <v>0</v>
      </c>
      <c r="K7" s="154">
        <f t="array" ref="K7">if(isblank($F7),,SUMIFS(Transactions!$E:$E,Transactions!$B:$B,$F7, MONTH(Transactions!$C:$C),MONTH(K$4)))</f>
        <v>0</v>
      </c>
      <c r="L7" s="154">
        <f t="array" ref="L7">if(isblank($F7),,SUMIFS(Transactions!$E:$E,Transactions!$B:$B,$F7, MONTH(Transactions!$C:$C),MONTH(L$4)))</f>
        <v>0</v>
      </c>
      <c r="M7" s="154">
        <f t="array" ref="M7">if(isblank($F7),,SUMIFS(Transactions!$E:$E,Transactions!$B:$B,$F7, MONTH(Transactions!$C:$C),MONTH(M$4)))</f>
        <v>0</v>
      </c>
      <c r="N7" s="154">
        <f t="array" ref="N7">if(isblank($F7),,SUMIFS(Transactions!$E:$E,Transactions!$B:$B,$F7, MONTH(Transactions!$C:$C),MONTH(N$4)))</f>
        <v>0</v>
      </c>
      <c r="O7" s="154">
        <f t="array" ref="O7">if(isblank($F7),,SUMIFS(Transactions!$E:$E,Transactions!$B:$B,$F7, MONTH(Transactions!$C:$C),MONTH(O$4)))</f>
        <v>0</v>
      </c>
      <c r="P7" s="154">
        <f t="array" ref="P7">if(isblank($F7),,SUMIFS(Transactions!$E:$E,Transactions!$B:$B,$F7, MONTH(Transactions!$C:$C),MONTH(P$4)))</f>
        <v>0</v>
      </c>
      <c r="Q7" s="154">
        <f t="array" ref="Q7">if(isblank($F7),,SUMIFS(Transactions!$E:$E,Transactions!$B:$B,$F7, MONTH(Transactions!$C:$C),MONTH(Q$4)))</f>
        <v>0</v>
      </c>
      <c r="R7" s="175">
        <f t="array" ref="R7">if(isblank($F7),,SUMIFS(Transactions!$E:$E,Transactions!$B:$B,$F7, MONTH(Transactions!$C:$C),MONTH(R$4)))</f>
        <v>0</v>
      </c>
      <c r="S7" s="176">
        <f t="shared" ref="S7:S9" si="2">sum(G7:R7)</f>
        <v>3100</v>
      </c>
      <c r="T7" s="177">
        <v>0.2</v>
      </c>
      <c r="U7" s="106">
        <f t="shared" ref="U7:U9" si="3">S7*(1+T7)</f>
        <v>3720</v>
      </c>
      <c r="V7" s="107"/>
    </row>
    <row r="8">
      <c r="A8" s="108"/>
      <c r="B8" s="109"/>
      <c r="C8" s="110"/>
      <c r="D8" s="109"/>
      <c r="E8" s="93"/>
      <c r="F8" s="109" t="str">
        <f>IFERROR(__xludf.DUMMYFUNCTION("""COMPUTED_VALUE"""),"Custom Sales 1")</f>
        <v>Custom Sales 1</v>
      </c>
      <c r="G8" s="141">
        <f t="array" ref="G8">if(isblank($F8),,SUMIFS(Transactions!$E:$E,Transactions!$B:$B,$F8, MONTH(Transactions!$C:$C),MONTH(G$4)))</f>
        <v>0</v>
      </c>
      <c r="H8" s="154">
        <f t="array" ref="H8">if(isblank($F8),,SUMIFS(Transactions!$E:$E,Transactions!$B:$B,$F8, MONTH(Transactions!$C:$C),MONTH(H$4)))</f>
        <v>0</v>
      </c>
      <c r="I8" s="154">
        <f t="array" ref="I8">if(isblank($F8),,SUMIFS(Transactions!$E:$E,Transactions!$B:$B,$F8, MONTH(Transactions!$C:$C),MONTH(I$4)))</f>
        <v>0</v>
      </c>
      <c r="J8" s="154">
        <f t="array" ref="J8">if(isblank($F8),,SUMIFS(Transactions!$E:$E,Transactions!$B:$B,$F8, MONTH(Transactions!$C:$C),MONTH(J$4)))</f>
        <v>0</v>
      </c>
      <c r="K8" s="154">
        <f t="array" ref="K8">if(isblank($F8),,SUMIFS(Transactions!$E:$E,Transactions!$B:$B,$F8, MONTH(Transactions!$C:$C),MONTH(K$4)))</f>
        <v>0</v>
      </c>
      <c r="L8" s="154">
        <f t="array" ref="L8">if(isblank($F8),,SUMIFS(Transactions!$E:$E,Transactions!$B:$B,$F8, MONTH(Transactions!$C:$C),MONTH(L$4)))</f>
        <v>0</v>
      </c>
      <c r="M8" s="154">
        <f t="array" ref="M8">if(isblank($F8),,SUMIFS(Transactions!$E:$E,Transactions!$B:$B,$F8, MONTH(Transactions!$C:$C),MONTH(M$4)))</f>
        <v>0</v>
      </c>
      <c r="N8" s="154">
        <f t="array" ref="N8">if(isblank($F8),,SUMIFS(Transactions!$E:$E,Transactions!$B:$B,$F8, MONTH(Transactions!$C:$C),MONTH(N$4)))</f>
        <v>0</v>
      </c>
      <c r="O8" s="154">
        <f t="array" ref="O8">if(isblank($F8),,SUMIFS(Transactions!$E:$E,Transactions!$B:$B,$F8, MONTH(Transactions!$C:$C),MONTH(O$4)))</f>
        <v>0</v>
      </c>
      <c r="P8" s="154">
        <f t="array" ref="P8">if(isblank($F8),,SUMIFS(Transactions!$E:$E,Transactions!$B:$B,$F8, MONTH(Transactions!$C:$C),MONTH(P$4)))</f>
        <v>0</v>
      </c>
      <c r="Q8" s="154">
        <f t="array" ref="Q8">if(isblank($F8),,SUMIFS(Transactions!$E:$E,Transactions!$B:$B,$F8, MONTH(Transactions!$C:$C),MONTH(Q$4)))</f>
        <v>0</v>
      </c>
      <c r="R8" s="175">
        <f t="array" ref="R8">if(isblank($F8),,SUMIFS(Transactions!$E:$E,Transactions!$B:$B,$F8, MONTH(Transactions!$C:$C),MONTH(R$4)))</f>
        <v>0</v>
      </c>
      <c r="S8" s="176">
        <f t="shared" si="2"/>
        <v>0</v>
      </c>
      <c r="T8" s="178"/>
      <c r="U8" s="106">
        <f t="shared" si="3"/>
        <v>0</v>
      </c>
      <c r="V8" s="107"/>
    </row>
    <row r="9">
      <c r="A9" s="108"/>
      <c r="B9" s="109"/>
      <c r="C9" s="110"/>
      <c r="D9" s="109"/>
      <c r="E9" s="93"/>
      <c r="F9" s="179" t="str">
        <f>IFERROR(__xludf.DUMMYFUNCTION("""COMPUTED_VALUE"""),"Custom Sales 2")</f>
        <v>Custom Sales 2</v>
      </c>
      <c r="G9" s="180">
        <f t="array" ref="G9">if(isblank($F9),,SUMIFS(Transactions!$E:$E,Transactions!$B:$B,$F9, MONTH(Transactions!$C:$C),MONTH(G$4)))</f>
        <v>0</v>
      </c>
      <c r="H9" s="181">
        <f t="array" ref="H9">if(isblank($F9),,SUMIFS(Transactions!$E:$E,Transactions!$B:$B,$F9, MONTH(Transactions!$C:$C),MONTH(H$4)))</f>
        <v>0</v>
      </c>
      <c r="I9" s="181">
        <f t="array" ref="I9">if(isblank($F9),,SUMIFS(Transactions!$E:$E,Transactions!$B:$B,$F9, MONTH(Transactions!$C:$C),MONTH(I$4)))</f>
        <v>0</v>
      </c>
      <c r="J9" s="181">
        <f t="array" ref="J9">if(isblank($F9),,SUMIFS(Transactions!$E:$E,Transactions!$B:$B,$F9, MONTH(Transactions!$C:$C),MONTH(J$4)))</f>
        <v>0</v>
      </c>
      <c r="K9" s="181">
        <f t="array" ref="K9">if(isblank($F9),,SUMIFS(Transactions!$E:$E,Transactions!$B:$B,$F9, MONTH(Transactions!$C:$C),MONTH(K$4)))</f>
        <v>0</v>
      </c>
      <c r="L9" s="181">
        <f t="array" ref="L9">if(isblank($F9),,SUMIFS(Transactions!$E:$E,Transactions!$B:$B,$F9, MONTH(Transactions!$C:$C),MONTH(L$4)))</f>
        <v>0</v>
      </c>
      <c r="M9" s="181">
        <f t="array" ref="M9">if(isblank($F9),,SUMIFS(Transactions!$E:$E,Transactions!$B:$B,$F9, MONTH(Transactions!$C:$C),MONTH(M$4)))</f>
        <v>0</v>
      </c>
      <c r="N9" s="181">
        <f t="array" ref="N9">if(isblank($F9),,SUMIFS(Transactions!$E:$E,Transactions!$B:$B,$F9, MONTH(Transactions!$C:$C),MONTH(N$4)))</f>
        <v>0</v>
      </c>
      <c r="O9" s="181">
        <f t="array" ref="O9">if(isblank($F9),,SUMIFS(Transactions!$E:$E,Transactions!$B:$B,$F9, MONTH(Transactions!$C:$C),MONTH(O$4)))</f>
        <v>0</v>
      </c>
      <c r="P9" s="181">
        <f t="array" ref="P9">if(isblank($F9),,SUMIFS(Transactions!$E:$E,Transactions!$B:$B,$F9, MONTH(Transactions!$C:$C),MONTH(P$4)))</f>
        <v>0</v>
      </c>
      <c r="Q9" s="181">
        <f t="array" ref="Q9">if(isblank($F9),,SUMIFS(Transactions!$E:$E,Transactions!$B:$B,$F9, MONTH(Transactions!$C:$C),MONTH(Q$4)))</f>
        <v>0</v>
      </c>
      <c r="R9" s="182">
        <f t="array" ref="R9">if(isblank($F9),,SUMIFS(Transactions!$E:$E,Transactions!$B:$B,$F9, MONTH(Transactions!$C:$C),MONTH(R$4)))</f>
        <v>0</v>
      </c>
      <c r="S9" s="183">
        <f t="shared" si="2"/>
        <v>0</v>
      </c>
      <c r="T9" s="178"/>
      <c r="U9" s="184">
        <f t="shared" si="3"/>
        <v>0</v>
      </c>
      <c r="V9" s="107"/>
    </row>
    <row r="10">
      <c r="A10" s="108"/>
      <c r="B10" s="109"/>
      <c r="C10" s="110"/>
      <c r="D10" s="109"/>
      <c r="E10" s="107"/>
      <c r="F10" s="185" t="s">
        <v>105</v>
      </c>
      <c r="G10" s="186">
        <f t="shared" ref="G10:S10" si="4">sum(G6:G9)</f>
        <v>800</v>
      </c>
      <c r="H10" s="186">
        <f t="shared" si="4"/>
        <v>1100</v>
      </c>
      <c r="I10" s="186">
        <f t="shared" si="4"/>
        <v>1200</v>
      </c>
      <c r="J10" s="186">
        <f t="shared" si="4"/>
        <v>0</v>
      </c>
      <c r="K10" s="186">
        <f t="shared" si="4"/>
        <v>0</v>
      </c>
      <c r="L10" s="186">
        <f t="shared" si="4"/>
        <v>0</v>
      </c>
      <c r="M10" s="186">
        <f t="shared" si="4"/>
        <v>0</v>
      </c>
      <c r="N10" s="186">
        <f t="shared" si="4"/>
        <v>0</v>
      </c>
      <c r="O10" s="186">
        <f t="shared" si="4"/>
        <v>0</v>
      </c>
      <c r="P10" s="186">
        <f t="shared" si="4"/>
        <v>0</v>
      </c>
      <c r="Q10" s="186">
        <f t="shared" si="4"/>
        <v>0</v>
      </c>
      <c r="R10" s="186">
        <f t="shared" si="4"/>
        <v>0</v>
      </c>
      <c r="S10" s="176">
        <f t="shared" si="4"/>
        <v>3100</v>
      </c>
      <c r="T10" s="187"/>
      <c r="U10" s="106">
        <f>sum(U6:U9)</f>
        <v>3720</v>
      </c>
      <c r="V10" s="107"/>
    </row>
    <row r="11">
      <c r="A11" s="91"/>
      <c r="B11" s="93"/>
      <c r="C11" s="94"/>
      <c r="D11" s="93"/>
      <c r="E11" s="93"/>
      <c r="F11" s="93"/>
      <c r="G11" s="98"/>
      <c r="H11" s="98"/>
      <c r="I11" s="98"/>
      <c r="J11" s="98"/>
      <c r="K11" s="98"/>
      <c r="L11" s="98"/>
      <c r="M11" s="98"/>
      <c r="N11" s="98"/>
      <c r="O11" s="98"/>
      <c r="P11" s="98"/>
      <c r="Q11" s="98"/>
      <c r="R11" s="98"/>
      <c r="S11" s="103"/>
      <c r="T11" s="105"/>
      <c r="U11" s="106"/>
      <c r="V11" s="107"/>
    </row>
    <row r="12">
      <c r="A12" s="91"/>
      <c r="B12" s="188"/>
      <c r="C12" s="189"/>
      <c r="D12" s="188"/>
      <c r="E12" s="190" t="s">
        <v>106</v>
      </c>
      <c r="F12" s="191"/>
      <c r="G12" s="96"/>
      <c r="H12" s="98"/>
      <c r="I12" s="98"/>
      <c r="J12" s="98"/>
      <c r="K12" s="98"/>
      <c r="L12" s="98"/>
      <c r="M12" s="98"/>
      <c r="N12" s="98"/>
      <c r="O12" s="98"/>
      <c r="P12" s="98"/>
      <c r="Q12" s="98"/>
      <c r="R12" s="102"/>
      <c r="S12" s="192"/>
      <c r="T12" s="193"/>
      <c r="U12" s="194"/>
      <c r="V12" s="195"/>
    </row>
    <row r="13">
      <c r="A13" s="91"/>
      <c r="B13" s="93"/>
      <c r="C13" s="94"/>
      <c r="D13" s="93"/>
      <c r="F13" s="111" t="str">
        <f>IFERROR(__xludf.DUMMYFUNCTION("FILTER(Categories!B:B,Categories!C:C=""Cost of Goods Sold"")"),"Cost of Goods Sold")</f>
        <v>Cost of Goods Sold</v>
      </c>
      <c r="G13" s="141">
        <f t="array" ref="G13">-if(isblank($F13),,SUMIFS(Transactions!$E:$E,Transactions!$B:$B,$F13, MONTH(Transactions!$C:$C),MONTH(G$4)))</f>
        <v>0</v>
      </c>
      <c r="H13" s="154">
        <f t="array" ref="H13">-if(isblank($F13),,SUMIFS(Transactions!$E:$E,Transactions!$B:$B,$F13, MONTH(Transactions!$C:$C),MONTH(H$4)))</f>
        <v>0</v>
      </c>
      <c r="I13" s="154">
        <f t="array" ref="I13">-if(isblank($F13),,SUMIFS(Transactions!$E:$E,Transactions!$B:$B,$F13, MONTH(Transactions!$C:$C),MONTH(I$4)))</f>
        <v>0</v>
      </c>
      <c r="J13" s="154">
        <f t="array" ref="J13">-if(isblank($F13),,SUMIFS(Transactions!$E:$E,Transactions!$B:$B,$F13, MONTH(Transactions!$C:$C),MONTH(J$4)))</f>
        <v>0</v>
      </c>
      <c r="K13" s="154">
        <f t="array" ref="K13">-if(isblank($F13),,SUMIFS(Transactions!$E:$E,Transactions!$B:$B,$F13, MONTH(Transactions!$C:$C),MONTH(K$4)))</f>
        <v>0</v>
      </c>
      <c r="L13" s="154">
        <f t="array" ref="L13">-if(isblank($F13),,SUMIFS(Transactions!$E:$E,Transactions!$B:$B,$F13, MONTH(Transactions!$C:$C),MONTH(L$4)))</f>
        <v>0</v>
      </c>
      <c r="M13" s="154">
        <f t="array" ref="M13">-if(isblank($F13),,SUMIFS(Transactions!$E:$E,Transactions!$B:$B,$F13, MONTH(Transactions!$C:$C),MONTH(M$4)))</f>
        <v>0</v>
      </c>
      <c r="N13" s="154">
        <f t="array" ref="N13">-if(isblank($F13),,SUMIFS(Transactions!$E:$E,Transactions!$B:$B,$F13, MONTH(Transactions!$C:$C),MONTH(N$4)))</f>
        <v>0</v>
      </c>
      <c r="O13" s="154">
        <f t="array" ref="O13">-if(isblank($F13),,SUMIFS(Transactions!$E:$E,Transactions!$B:$B,$F13, MONTH(Transactions!$C:$C),MONTH(O$4)))</f>
        <v>0</v>
      </c>
      <c r="P13" s="154">
        <f t="array" ref="P13">-if(isblank($F13),,SUMIFS(Transactions!$E:$E,Transactions!$B:$B,$F13, MONTH(Transactions!$C:$C),MONTH(P$4)))</f>
        <v>0</v>
      </c>
      <c r="Q13" s="154">
        <f t="array" ref="Q13">-if(isblank($F13),,SUMIFS(Transactions!$E:$E,Transactions!$B:$B,$F13, MONTH(Transactions!$C:$C),MONTH(Q$4)))</f>
        <v>0</v>
      </c>
      <c r="R13" s="175">
        <f t="array" ref="R13">-if(isblank($F13),,SUMIFS(Transactions!$E:$E,Transactions!$B:$B,$F13, MONTH(Transactions!$C:$C),MONTH(R$4)))</f>
        <v>0</v>
      </c>
      <c r="S13" s="204">
        <f t="shared" ref="S13:S15" si="5">sum(G13:R13)</f>
        <v>0</v>
      </c>
      <c r="T13" s="207"/>
      <c r="U13" s="106">
        <f t="shared" ref="U13:U15" si="6">S13*(1+T13)</f>
        <v>0</v>
      </c>
      <c r="V13" s="107"/>
    </row>
    <row r="14">
      <c r="A14" s="91"/>
      <c r="B14" s="93"/>
      <c r="C14" s="94"/>
      <c r="F14" s="208" t="str">
        <f>IFERROR(__xludf.DUMMYFUNCTION("""COMPUTED_VALUE"""),"Custom COGS 1")</f>
        <v>Custom COGS 1</v>
      </c>
      <c r="G14" s="141">
        <f t="array" ref="G14">-if(isblank($F14),,SUMIFS(Transactions!$E:$E,Transactions!$B:$B,$F14, MONTH(Transactions!$C:$C),MONTH(G$4)))</f>
        <v>0</v>
      </c>
      <c r="H14" s="154">
        <f t="array" ref="H14">-if(isblank($F14),,SUMIFS(Transactions!$E:$E,Transactions!$B:$B,$F14, MONTH(Transactions!$C:$C),MONTH(H$4)))</f>
        <v>0</v>
      </c>
      <c r="I14" s="154">
        <f t="array" ref="I14">-if(isblank($F14),,SUMIFS(Transactions!$E:$E,Transactions!$B:$B,$F14, MONTH(Transactions!$C:$C),MONTH(I$4)))</f>
        <v>0</v>
      </c>
      <c r="J14" s="154">
        <f t="array" ref="J14">-if(isblank($F14),,SUMIFS(Transactions!$E:$E,Transactions!$B:$B,$F14, MONTH(Transactions!$C:$C),MONTH(J$4)))</f>
        <v>0</v>
      </c>
      <c r="K14" s="154">
        <f t="array" ref="K14">-if(isblank($F14),,SUMIFS(Transactions!$E:$E,Transactions!$B:$B,$F14, MONTH(Transactions!$C:$C),MONTH(K$4)))</f>
        <v>0</v>
      </c>
      <c r="L14" s="154">
        <f t="array" ref="L14">-if(isblank($F14),,SUMIFS(Transactions!$E:$E,Transactions!$B:$B,$F14, MONTH(Transactions!$C:$C),MONTH(L$4)))</f>
        <v>0</v>
      </c>
      <c r="M14" s="154">
        <f t="array" ref="M14">-if(isblank($F14),,SUMIFS(Transactions!$E:$E,Transactions!$B:$B,$F14, MONTH(Transactions!$C:$C),MONTH(M$4)))</f>
        <v>0</v>
      </c>
      <c r="N14" s="154">
        <f t="array" ref="N14">-if(isblank($F14),,SUMIFS(Transactions!$E:$E,Transactions!$B:$B,$F14, MONTH(Transactions!$C:$C),MONTH(N$4)))</f>
        <v>0</v>
      </c>
      <c r="O14" s="154">
        <f t="array" ref="O14">-if(isblank($F14),,SUMIFS(Transactions!$E:$E,Transactions!$B:$B,$F14, MONTH(Transactions!$C:$C),MONTH(O$4)))</f>
        <v>0</v>
      </c>
      <c r="P14" s="154">
        <f t="array" ref="P14">-if(isblank($F14),,SUMIFS(Transactions!$E:$E,Transactions!$B:$B,$F14, MONTH(Transactions!$C:$C),MONTH(P$4)))</f>
        <v>0</v>
      </c>
      <c r="Q14" s="154">
        <f t="array" ref="Q14">-if(isblank($F14),,SUMIFS(Transactions!$E:$E,Transactions!$B:$B,$F14, MONTH(Transactions!$C:$C),MONTH(Q$4)))</f>
        <v>0</v>
      </c>
      <c r="R14" s="175">
        <f t="array" ref="R14">-if(isblank($F14),,SUMIFS(Transactions!$E:$E,Transactions!$B:$B,$F14, MONTH(Transactions!$C:$C),MONTH(R$4)))</f>
        <v>0</v>
      </c>
      <c r="S14" s="204">
        <f t="shared" si="5"/>
        <v>0</v>
      </c>
      <c r="T14" s="237"/>
      <c r="U14" s="106">
        <f t="shared" si="6"/>
        <v>0</v>
      </c>
      <c r="V14" s="107"/>
    </row>
    <row r="15">
      <c r="A15" s="91"/>
      <c r="B15" s="93"/>
      <c r="C15" s="94"/>
      <c r="F15" s="240" t="str">
        <f>IFERROR(__xludf.DUMMYFUNCTION("""COMPUTED_VALUE"""),"Custom COGS 2")</f>
        <v>Custom COGS 2</v>
      </c>
      <c r="G15" s="180">
        <f t="array" ref="G15">-if(isblank($F15),,SUMIFS(Transactions!$E:$E,Transactions!$B:$B,$F15, MONTH(Transactions!$C:$C),MONTH(G$4)))</f>
        <v>0</v>
      </c>
      <c r="H15" s="181">
        <f t="array" ref="H15">-if(isblank($F15),,SUMIFS(Transactions!$E:$E,Transactions!$B:$B,$F15, MONTH(Transactions!$C:$C),MONTH(H$4)))</f>
        <v>0</v>
      </c>
      <c r="I15" s="181">
        <f t="array" ref="I15">-if(isblank($F15),,SUMIFS(Transactions!$E:$E,Transactions!$B:$B,$F15, MONTH(Transactions!$C:$C),MONTH(I$4)))</f>
        <v>0</v>
      </c>
      <c r="J15" s="181">
        <f t="array" ref="J15">-if(isblank($F15),,SUMIFS(Transactions!$E:$E,Transactions!$B:$B,$F15, MONTH(Transactions!$C:$C),MONTH(J$4)))</f>
        <v>0</v>
      </c>
      <c r="K15" s="181">
        <f t="array" ref="K15">-if(isblank($F15),,SUMIFS(Transactions!$E:$E,Transactions!$B:$B,$F15, MONTH(Transactions!$C:$C),MONTH(K$4)))</f>
        <v>0</v>
      </c>
      <c r="L15" s="181">
        <f t="array" ref="L15">-if(isblank($F15),,SUMIFS(Transactions!$E:$E,Transactions!$B:$B,$F15, MONTH(Transactions!$C:$C),MONTH(L$4)))</f>
        <v>0</v>
      </c>
      <c r="M15" s="181">
        <f t="array" ref="M15">-if(isblank($F15),,SUMIFS(Transactions!$E:$E,Transactions!$B:$B,$F15, MONTH(Transactions!$C:$C),MONTH(M$4)))</f>
        <v>0</v>
      </c>
      <c r="N15" s="181">
        <f t="array" ref="N15">-if(isblank($F15),,SUMIFS(Transactions!$E:$E,Transactions!$B:$B,$F15, MONTH(Transactions!$C:$C),MONTH(N$4)))</f>
        <v>0</v>
      </c>
      <c r="O15" s="181">
        <f t="array" ref="O15">-if(isblank($F15),,SUMIFS(Transactions!$E:$E,Transactions!$B:$B,$F15, MONTH(Transactions!$C:$C),MONTH(O$4)))</f>
        <v>0</v>
      </c>
      <c r="P15" s="181">
        <f t="array" ref="P15">-if(isblank($F15),,SUMIFS(Transactions!$E:$E,Transactions!$B:$B,$F15, MONTH(Transactions!$C:$C),MONTH(P$4)))</f>
        <v>0</v>
      </c>
      <c r="Q15" s="181">
        <f t="array" ref="Q15">-if(isblank($F15),,SUMIFS(Transactions!$E:$E,Transactions!$B:$B,$F15, MONTH(Transactions!$C:$C),MONTH(Q$4)))</f>
        <v>0</v>
      </c>
      <c r="R15" s="182">
        <f t="array" ref="R15">-if(isblank($F15),,SUMIFS(Transactions!$E:$E,Transactions!$B:$B,$F15, MONTH(Transactions!$C:$C),MONTH(R$4)))</f>
        <v>0</v>
      </c>
      <c r="S15" s="250">
        <f t="shared" si="5"/>
        <v>0</v>
      </c>
      <c r="T15" s="251"/>
      <c r="U15" s="184">
        <f t="shared" si="6"/>
        <v>0</v>
      </c>
      <c r="V15" s="107"/>
    </row>
    <row r="16">
      <c r="A16" s="91"/>
      <c r="B16" s="93"/>
      <c r="C16" s="94"/>
      <c r="F16" s="185" t="s">
        <v>120</v>
      </c>
      <c r="G16" s="186">
        <f t="shared" ref="G16:S16" si="7">sum(G12:G15)</f>
        <v>0</v>
      </c>
      <c r="H16" s="186">
        <f t="shared" si="7"/>
        <v>0</v>
      </c>
      <c r="I16" s="186">
        <f t="shared" si="7"/>
        <v>0</v>
      </c>
      <c r="J16" s="186">
        <f t="shared" si="7"/>
        <v>0</v>
      </c>
      <c r="K16" s="186">
        <f t="shared" si="7"/>
        <v>0</v>
      </c>
      <c r="L16" s="186">
        <f t="shared" si="7"/>
        <v>0</v>
      </c>
      <c r="M16" s="186">
        <f t="shared" si="7"/>
        <v>0</v>
      </c>
      <c r="N16" s="186">
        <f t="shared" si="7"/>
        <v>0</v>
      </c>
      <c r="O16" s="186">
        <f t="shared" si="7"/>
        <v>0</v>
      </c>
      <c r="P16" s="186">
        <f t="shared" si="7"/>
        <v>0</v>
      </c>
      <c r="Q16" s="186">
        <f t="shared" si="7"/>
        <v>0</v>
      </c>
      <c r="R16" s="186">
        <f t="shared" si="7"/>
        <v>0</v>
      </c>
      <c r="S16" s="176">
        <f t="shared" si="7"/>
        <v>0</v>
      </c>
      <c r="T16" s="252"/>
      <c r="U16" s="106">
        <f>sum(U12:U15)</f>
        <v>0</v>
      </c>
      <c r="V16" s="107"/>
    </row>
    <row r="17">
      <c r="A17" s="91"/>
      <c r="B17" s="93"/>
      <c r="C17" s="94"/>
      <c r="F17" s="93"/>
      <c r="G17" s="96"/>
      <c r="H17" s="98"/>
      <c r="I17" s="98"/>
      <c r="J17" s="98"/>
      <c r="K17" s="98"/>
      <c r="L17" s="98"/>
      <c r="M17" s="98"/>
      <c r="N17" s="98"/>
      <c r="O17" s="98"/>
      <c r="P17" s="98"/>
      <c r="Q17" s="98"/>
      <c r="R17" s="102"/>
      <c r="S17" s="103"/>
      <c r="T17" s="105"/>
      <c r="U17" s="106"/>
      <c r="V17" s="107"/>
    </row>
    <row r="18">
      <c r="A18" s="253"/>
      <c r="B18" s="254"/>
      <c r="C18" s="255"/>
      <c r="D18" s="256" t="s">
        <v>121</v>
      </c>
      <c r="E18" s="257"/>
      <c r="F18" s="257"/>
      <c r="G18" s="258">
        <f t="shared" ref="G18:R18" si="8">G10 - G16</f>
        <v>800</v>
      </c>
      <c r="H18" s="258">
        <f t="shared" si="8"/>
        <v>1100</v>
      </c>
      <c r="I18" s="258">
        <f t="shared" si="8"/>
        <v>1200</v>
      </c>
      <c r="J18" s="258">
        <f t="shared" si="8"/>
        <v>0</v>
      </c>
      <c r="K18" s="258">
        <f t="shared" si="8"/>
        <v>0</v>
      </c>
      <c r="L18" s="258">
        <f t="shared" si="8"/>
        <v>0</v>
      </c>
      <c r="M18" s="258">
        <f t="shared" si="8"/>
        <v>0</v>
      </c>
      <c r="N18" s="258">
        <f t="shared" si="8"/>
        <v>0</v>
      </c>
      <c r="O18" s="258">
        <f t="shared" si="8"/>
        <v>0</v>
      </c>
      <c r="P18" s="258">
        <f t="shared" si="8"/>
        <v>0</v>
      </c>
      <c r="Q18" s="258">
        <f t="shared" si="8"/>
        <v>0</v>
      </c>
      <c r="R18" s="258">
        <f t="shared" si="8"/>
        <v>0</v>
      </c>
      <c r="S18" s="259">
        <f>sum(G18:R18)</f>
        <v>3100</v>
      </c>
      <c r="T18" s="260"/>
      <c r="U18" s="261">
        <f>U10-U16</f>
        <v>3720</v>
      </c>
      <c r="V18" s="262"/>
    </row>
    <row r="19" ht="9.0" customHeight="1">
      <c r="A19" s="91"/>
      <c r="B19" s="263"/>
      <c r="C19" s="264"/>
      <c r="D19" s="263"/>
      <c r="E19" s="263"/>
      <c r="F19" s="263"/>
      <c r="G19" s="265"/>
      <c r="H19" s="266"/>
      <c r="I19" s="266"/>
      <c r="J19" s="266"/>
      <c r="K19" s="266"/>
      <c r="L19" s="266"/>
      <c r="M19" s="266"/>
      <c r="N19" s="266"/>
      <c r="O19" s="266"/>
      <c r="P19" s="266"/>
      <c r="Q19" s="266"/>
      <c r="R19" s="267"/>
      <c r="S19" s="268"/>
      <c r="T19" s="269"/>
      <c r="U19" s="270"/>
      <c r="V19" s="107"/>
    </row>
    <row r="20" ht="44.25" customHeight="1">
      <c r="A20" s="271"/>
      <c r="B20" s="272"/>
      <c r="C20" s="273" t="s">
        <v>39</v>
      </c>
      <c r="D20" s="274"/>
      <c r="E20" s="274"/>
      <c r="F20" s="274"/>
      <c r="G20" s="275"/>
      <c r="H20" s="275"/>
      <c r="I20" s="275"/>
      <c r="J20" s="275"/>
      <c r="K20" s="275"/>
      <c r="L20" s="275"/>
      <c r="M20" s="275"/>
      <c r="N20" s="275"/>
      <c r="O20" s="275"/>
      <c r="P20" s="275"/>
      <c r="Q20" s="275"/>
      <c r="R20" s="275"/>
      <c r="S20" s="276"/>
      <c r="T20" s="277"/>
      <c r="U20" s="278"/>
      <c r="V20" s="277"/>
    </row>
    <row r="21">
      <c r="A21" s="91"/>
      <c r="B21" s="93"/>
      <c r="C21" s="93"/>
      <c r="D21" s="93"/>
      <c r="E21" s="107"/>
      <c r="F21" s="111" t="str">
        <f>IFERROR(__xludf.DUMMYFUNCTION("FILTER(Categories!B:B,Categories!C:C=""Expenses"")"),"Advertising")</f>
        <v>Advertising</v>
      </c>
      <c r="G21" s="279">
        <f t="array" ref="G21">-if(isblank($F21),,SUMIFS(Transactions!$E:$E,Transactions!$B:$B,$F21, MONTH(Transactions!$C:$C),MONTH(G$4)))</f>
        <v>0</v>
      </c>
      <c r="H21" s="279">
        <f t="array" ref="H21">-if(isblank($F21),,SUMIFS(Transactions!$E:$E,Transactions!$B:$B,$F21, MONTH(Transactions!$C:$C),MONTH(H$4)))</f>
        <v>0</v>
      </c>
      <c r="I21" s="279">
        <f t="array" ref="I21">-if(isblank($F21),,SUMIFS(Transactions!$E:$E,Transactions!$B:$B,$F21, MONTH(Transactions!$C:$C),MONTH(I$4)))</f>
        <v>0</v>
      </c>
      <c r="J21" s="279">
        <f t="array" ref="J21">-if(isblank($F21),,SUMIFS(Transactions!$E:$E,Transactions!$B:$B,$F21, MONTH(Transactions!$C:$C),MONTH(J$4)))</f>
        <v>0</v>
      </c>
      <c r="K21" s="279">
        <f t="array" ref="K21">-if(isblank($F21),,SUMIFS(Transactions!$E:$E,Transactions!$B:$B,$F21, MONTH(Transactions!$C:$C),MONTH(K$4)))</f>
        <v>0</v>
      </c>
      <c r="L21" s="279">
        <f t="array" ref="L21">-if(isblank($F21),,SUMIFS(Transactions!$E:$E,Transactions!$B:$B,$F21, MONTH(Transactions!$C:$C),MONTH(L$4)))</f>
        <v>0</v>
      </c>
      <c r="M21" s="279">
        <f t="array" ref="M21">-if(isblank($F21),,SUMIFS(Transactions!$E:$E,Transactions!$B:$B,$F21, MONTH(Transactions!$C:$C),MONTH(M$4)))</f>
        <v>0</v>
      </c>
      <c r="N21" s="279">
        <f t="array" ref="N21">-if(isblank($F21),,SUMIFS(Transactions!$E:$E,Transactions!$B:$B,$F21, MONTH(Transactions!$C:$C),MONTH(N$4)))</f>
        <v>0</v>
      </c>
      <c r="O21" s="279">
        <f t="array" ref="O21">-if(isblank($F21),,SUMIFS(Transactions!$E:$E,Transactions!$B:$B,$F21, MONTH(Transactions!$C:$C),MONTH(O$4)))</f>
        <v>0</v>
      </c>
      <c r="P21" s="279">
        <f t="array" ref="P21">-if(isblank($F21),,SUMIFS(Transactions!$E:$E,Transactions!$B:$B,$F21, MONTH(Transactions!$C:$C),MONTH(P$4)))</f>
        <v>0</v>
      </c>
      <c r="Q21" s="279">
        <f t="array" ref="Q21">-if(isblank($F21),,SUMIFS(Transactions!$E:$E,Transactions!$B:$B,$F21, MONTH(Transactions!$C:$C),MONTH(Q$4)))</f>
        <v>0</v>
      </c>
      <c r="R21" s="279">
        <f t="array" ref="R21">-if(isblank($F21),,SUMIFS(Transactions!$E:$E,Transactions!$B:$B,$F21, MONTH(Transactions!$C:$C),MONTH(R$4)))</f>
        <v>0</v>
      </c>
      <c r="S21" s="204">
        <f t="shared" ref="S21:S38" si="9">sum(G21:R21)</f>
        <v>0</v>
      </c>
      <c r="T21" s="207"/>
      <c r="U21" s="106">
        <f t="shared" ref="U21:U34" si="10">S21*(1+T21)</f>
        <v>0</v>
      </c>
      <c r="V21" s="107"/>
    </row>
    <row r="22">
      <c r="A22" s="91"/>
      <c r="B22" s="93"/>
      <c r="C22" s="93"/>
      <c r="D22" s="93"/>
      <c r="E22" s="107"/>
      <c r="F22" s="111" t="str">
        <f>IFERROR(__xludf.DUMMYFUNCTION("""COMPUTED_VALUE"""),"Office Supplies")</f>
        <v>Office Supplies</v>
      </c>
      <c r="G22" s="279">
        <f t="array" ref="G22">-if(isblank($F22),,SUMIFS(Transactions!$E:$E,Transactions!$B:$B,$F22, MONTH(Transactions!$C:$C),MONTH(G$4)))</f>
        <v>0</v>
      </c>
      <c r="H22" s="279">
        <f t="array" ref="H22">-if(isblank($F22),,SUMIFS(Transactions!$E:$E,Transactions!$B:$B,$F22, MONTH(Transactions!$C:$C),MONTH(H$4)))</f>
        <v>0</v>
      </c>
      <c r="I22" s="279">
        <f t="array" ref="I22">-if(isblank($F22),,SUMIFS(Transactions!$E:$E,Transactions!$B:$B,$F22, MONTH(Transactions!$C:$C),MONTH(I$4)))</f>
        <v>0</v>
      </c>
      <c r="J22" s="279">
        <f t="array" ref="J22">-if(isblank($F22),,SUMIFS(Transactions!$E:$E,Transactions!$B:$B,$F22, MONTH(Transactions!$C:$C),MONTH(J$4)))</f>
        <v>0</v>
      </c>
      <c r="K22" s="279">
        <f t="array" ref="K22">-if(isblank($F22),,SUMIFS(Transactions!$E:$E,Transactions!$B:$B,$F22, MONTH(Transactions!$C:$C),MONTH(K$4)))</f>
        <v>0</v>
      </c>
      <c r="L22" s="279">
        <f t="array" ref="L22">-if(isblank($F22),,SUMIFS(Transactions!$E:$E,Transactions!$B:$B,$F22, MONTH(Transactions!$C:$C),MONTH(L$4)))</f>
        <v>0</v>
      </c>
      <c r="M22" s="279">
        <f t="array" ref="M22">-if(isblank($F22),,SUMIFS(Transactions!$E:$E,Transactions!$B:$B,$F22, MONTH(Transactions!$C:$C),MONTH(M$4)))</f>
        <v>0</v>
      </c>
      <c r="N22" s="279">
        <f t="array" ref="N22">-if(isblank($F22),,SUMIFS(Transactions!$E:$E,Transactions!$B:$B,$F22, MONTH(Transactions!$C:$C),MONTH(N$4)))</f>
        <v>0</v>
      </c>
      <c r="O22" s="279">
        <f t="array" ref="O22">-if(isblank($F22),,SUMIFS(Transactions!$E:$E,Transactions!$B:$B,$F22, MONTH(Transactions!$C:$C),MONTH(O$4)))</f>
        <v>0</v>
      </c>
      <c r="P22" s="279">
        <f t="array" ref="P22">-if(isblank($F22),,SUMIFS(Transactions!$E:$E,Transactions!$B:$B,$F22, MONTH(Transactions!$C:$C),MONTH(P$4)))</f>
        <v>0</v>
      </c>
      <c r="Q22" s="279">
        <f t="array" ref="Q22">-if(isblank($F22),,SUMIFS(Transactions!$E:$E,Transactions!$B:$B,$F22, MONTH(Transactions!$C:$C),MONTH(Q$4)))</f>
        <v>0</v>
      </c>
      <c r="R22" s="279">
        <f t="array" ref="R22">-if(isblank($F22),,SUMIFS(Transactions!$E:$E,Transactions!$B:$B,$F22, MONTH(Transactions!$C:$C),MONTH(R$4)))</f>
        <v>0</v>
      </c>
      <c r="S22" s="204">
        <f t="shared" si="9"/>
        <v>0</v>
      </c>
      <c r="T22" s="237"/>
      <c r="U22" s="106">
        <f t="shared" si="10"/>
        <v>0</v>
      </c>
      <c r="V22" s="107"/>
    </row>
    <row r="23">
      <c r="A23" s="91"/>
      <c r="B23" s="93"/>
      <c r="C23" s="93"/>
      <c r="D23" s="93"/>
      <c r="E23" s="107"/>
      <c r="F23" s="111" t="str">
        <f>IFERROR(__xludf.DUMMYFUNCTION("""COMPUTED_VALUE"""),"Car/Truck")</f>
        <v>Car/Truck</v>
      </c>
      <c r="G23" s="279">
        <f t="array" ref="G23">-if(isblank($F23),,SUMIFS(Transactions!$E:$E,Transactions!$B:$B,$F23, MONTH(Transactions!$C:$C),MONTH(G$4)))</f>
        <v>0</v>
      </c>
      <c r="H23" s="279">
        <f t="array" ref="H23">-if(isblank($F23),,SUMIFS(Transactions!$E:$E,Transactions!$B:$B,$F23, MONTH(Transactions!$C:$C),MONTH(H$4)))</f>
        <v>0</v>
      </c>
      <c r="I23" s="279">
        <f t="array" ref="I23">-if(isblank($F23),,SUMIFS(Transactions!$E:$E,Transactions!$B:$B,$F23, MONTH(Transactions!$C:$C),MONTH(I$4)))</f>
        <v>0</v>
      </c>
      <c r="J23" s="279">
        <f t="array" ref="J23">-if(isblank($F23),,SUMIFS(Transactions!$E:$E,Transactions!$B:$B,$F23, MONTH(Transactions!$C:$C),MONTH(J$4)))</f>
        <v>0</v>
      </c>
      <c r="K23" s="279">
        <f t="array" ref="K23">-if(isblank($F23),,SUMIFS(Transactions!$E:$E,Transactions!$B:$B,$F23, MONTH(Transactions!$C:$C),MONTH(K$4)))</f>
        <v>0</v>
      </c>
      <c r="L23" s="279">
        <f t="array" ref="L23">-if(isblank($F23),,SUMIFS(Transactions!$E:$E,Transactions!$B:$B,$F23, MONTH(Transactions!$C:$C),MONTH(L$4)))</f>
        <v>0</v>
      </c>
      <c r="M23" s="279">
        <f t="array" ref="M23">-if(isblank($F23),,SUMIFS(Transactions!$E:$E,Transactions!$B:$B,$F23, MONTH(Transactions!$C:$C),MONTH(M$4)))</f>
        <v>0</v>
      </c>
      <c r="N23" s="279">
        <f t="array" ref="N23">-if(isblank($F23),,SUMIFS(Transactions!$E:$E,Transactions!$B:$B,$F23, MONTH(Transactions!$C:$C),MONTH(N$4)))</f>
        <v>0</v>
      </c>
      <c r="O23" s="279">
        <f t="array" ref="O23">-if(isblank($F23),,SUMIFS(Transactions!$E:$E,Transactions!$B:$B,$F23, MONTH(Transactions!$C:$C),MONTH(O$4)))</f>
        <v>0</v>
      </c>
      <c r="P23" s="279">
        <f t="array" ref="P23">-if(isblank($F23),,SUMIFS(Transactions!$E:$E,Transactions!$B:$B,$F23, MONTH(Transactions!$C:$C),MONTH(P$4)))</f>
        <v>0</v>
      </c>
      <c r="Q23" s="279">
        <f t="array" ref="Q23">-if(isblank($F23),,SUMIFS(Transactions!$E:$E,Transactions!$B:$B,$F23, MONTH(Transactions!$C:$C),MONTH(Q$4)))</f>
        <v>0</v>
      </c>
      <c r="R23" s="279">
        <f t="array" ref="R23">-if(isblank($F23),,SUMIFS(Transactions!$E:$E,Transactions!$B:$B,$F23, MONTH(Transactions!$C:$C),MONTH(R$4)))</f>
        <v>0</v>
      </c>
      <c r="S23" s="204">
        <f t="shared" si="9"/>
        <v>0</v>
      </c>
      <c r="T23" s="237"/>
      <c r="U23" s="106">
        <f t="shared" si="10"/>
        <v>0</v>
      </c>
      <c r="V23" s="107"/>
    </row>
    <row r="24">
      <c r="A24" s="91"/>
      <c r="B24" s="93"/>
      <c r="C24" s="93"/>
      <c r="D24" s="93"/>
      <c r="E24" s="107"/>
      <c r="F24" s="111" t="str">
        <f>IFERROR(__xludf.DUMMYFUNCTION("""COMPUTED_VALUE"""),"Insurance")</f>
        <v>Insurance</v>
      </c>
      <c r="G24" s="279">
        <f t="array" ref="G24">-if(isblank($F24),,SUMIFS(Transactions!$E:$E,Transactions!$B:$B,$F24, MONTH(Transactions!$C:$C),MONTH(G$4)))</f>
        <v>0</v>
      </c>
      <c r="H24" s="279">
        <f t="array" ref="H24">-if(isblank($F24),,SUMIFS(Transactions!$E:$E,Transactions!$B:$B,$F24, MONTH(Transactions!$C:$C),MONTH(H$4)))</f>
        <v>0</v>
      </c>
      <c r="I24" s="279">
        <f t="array" ref="I24">-if(isblank($F24),,SUMIFS(Transactions!$E:$E,Transactions!$B:$B,$F24, MONTH(Transactions!$C:$C),MONTH(I$4)))</f>
        <v>0</v>
      </c>
      <c r="J24" s="279">
        <f t="array" ref="J24">-if(isblank($F24),,SUMIFS(Transactions!$E:$E,Transactions!$B:$B,$F24, MONTH(Transactions!$C:$C),MONTH(J$4)))</f>
        <v>0</v>
      </c>
      <c r="K24" s="279">
        <f t="array" ref="K24">-if(isblank($F24),,SUMIFS(Transactions!$E:$E,Transactions!$B:$B,$F24, MONTH(Transactions!$C:$C),MONTH(K$4)))</f>
        <v>0</v>
      </c>
      <c r="L24" s="279">
        <f t="array" ref="L24">-if(isblank($F24),,SUMIFS(Transactions!$E:$E,Transactions!$B:$B,$F24, MONTH(Transactions!$C:$C),MONTH(L$4)))</f>
        <v>0</v>
      </c>
      <c r="M24" s="279">
        <f t="array" ref="M24">-if(isblank($F24),,SUMIFS(Transactions!$E:$E,Transactions!$B:$B,$F24, MONTH(Transactions!$C:$C),MONTH(M$4)))</f>
        <v>0</v>
      </c>
      <c r="N24" s="279">
        <f t="array" ref="N24">-if(isblank($F24),,SUMIFS(Transactions!$E:$E,Transactions!$B:$B,$F24, MONTH(Transactions!$C:$C),MONTH(N$4)))</f>
        <v>0</v>
      </c>
      <c r="O24" s="279">
        <f t="array" ref="O24">-if(isblank($F24),,SUMIFS(Transactions!$E:$E,Transactions!$B:$B,$F24, MONTH(Transactions!$C:$C),MONTH(O$4)))</f>
        <v>0</v>
      </c>
      <c r="P24" s="279">
        <f t="array" ref="P24">-if(isblank($F24),,SUMIFS(Transactions!$E:$E,Transactions!$B:$B,$F24, MONTH(Transactions!$C:$C),MONTH(P$4)))</f>
        <v>0</v>
      </c>
      <c r="Q24" s="279">
        <f t="array" ref="Q24">-if(isblank($F24),,SUMIFS(Transactions!$E:$E,Transactions!$B:$B,$F24, MONTH(Transactions!$C:$C),MONTH(Q$4)))</f>
        <v>0</v>
      </c>
      <c r="R24" s="279">
        <f t="array" ref="R24">-if(isblank($F24),,SUMIFS(Transactions!$E:$E,Transactions!$B:$B,$F24, MONTH(Transactions!$C:$C),MONTH(R$4)))</f>
        <v>0</v>
      </c>
      <c r="S24" s="204">
        <f t="shared" si="9"/>
        <v>0</v>
      </c>
      <c r="T24" s="237"/>
      <c r="U24" s="106">
        <f t="shared" si="10"/>
        <v>0</v>
      </c>
      <c r="V24" s="107"/>
    </row>
    <row r="25">
      <c r="A25" s="91"/>
      <c r="B25" s="93"/>
      <c r="C25" s="93"/>
      <c r="D25" s="93"/>
      <c r="E25" s="107"/>
      <c r="F25" s="111" t="str">
        <f>IFERROR(__xludf.DUMMYFUNCTION("""COMPUTED_VALUE"""),"Rent-Car/Equipment")</f>
        <v>Rent-Car/Equipment</v>
      </c>
      <c r="G25" s="279">
        <f t="array" ref="G25">-if(isblank($F25),,SUMIFS(Transactions!$E:$E,Transactions!$B:$B,$F25, MONTH(Transactions!$C:$C),MONTH(G$4)))</f>
        <v>0</v>
      </c>
      <c r="H25" s="279">
        <f t="array" ref="H25">-if(isblank($F25),,SUMIFS(Transactions!$E:$E,Transactions!$B:$B,$F25, MONTH(Transactions!$C:$C),MONTH(H$4)))</f>
        <v>0</v>
      </c>
      <c r="I25" s="279">
        <f t="array" ref="I25">-if(isblank($F25),,SUMIFS(Transactions!$E:$E,Transactions!$B:$B,$F25, MONTH(Transactions!$C:$C),MONTH(I$4)))</f>
        <v>0</v>
      </c>
      <c r="J25" s="279">
        <f t="array" ref="J25">-if(isblank($F25),,SUMIFS(Transactions!$E:$E,Transactions!$B:$B,$F25, MONTH(Transactions!$C:$C),MONTH(J$4)))</f>
        <v>0</v>
      </c>
      <c r="K25" s="279">
        <f t="array" ref="K25">-if(isblank($F25),,SUMIFS(Transactions!$E:$E,Transactions!$B:$B,$F25, MONTH(Transactions!$C:$C),MONTH(K$4)))</f>
        <v>0</v>
      </c>
      <c r="L25" s="279">
        <f t="array" ref="L25">-if(isblank($F25),,SUMIFS(Transactions!$E:$E,Transactions!$B:$B,$F25, MONTH(Transactions!$C:$C),MONTH(L$4)))</f>
        <v>0</v>
      </c>
      <c r="M25" s="279">
        <f t="array" ref="M25">-if(isblank($F25),,SUMIFS(Transactions!$E:$E,Transactions!$B:$B,$F25, MONTH(Transactions!$C:$C),MONTH(M$4)))</f>
        <v>0</v>
      </c>
      <c r="N25" s="279">
        <f t="array" ref="N25">-if(isblank($F25),,SUMIFS(Transactions!$E:$E,Transactions!$B:$B,$F25, MONTH(Transactions!$C:$C),MONTH(N$4)))</f>
        <v>0</v>
      </c>
      <c r="O25" s="279">
        <f t="array" ref="O25">-if(isblank($F25),,SUMIFS(Transactions!$E:$E,Transactions!$B:$B,$F25, MONTH(Transactions!$C:$C),MONTH(O$4)))</f>
        <v>0</v>
      </c>
      <c r="P25" s="279">
        <f t="array" ref="P25">-if(isblank($F25),,SUMIFS(Transactions!$E:$E,Transactions!$B:$B,$F25, MONTH(Transactions!$C:$C),MONTH(P$4)))</f>
        <v>0</v>
      </c>
      <c r="Q25" s="279">
        <f t="array" ref="Q25">-if(isblank($F25),,SUMIFS(Transactions!$E:$E,Transactions!$B:$B,$F25, MONTH(Transactions!$C:$C),MONTH(Q$4)))</f>
        <v>0</v>
      </c>
      <c r="R25" s="279">
        <f t="array" ref="R25">-if(isblank($F25),,SUMIFS(Transactions!$E:$E,Transactions!$B:$B,$F25, MONTH(Transactions!$C:$C),MONTH(R$4)))</f>
        <v>0</v>
      </c>
      <c r="S25" s="204">
        <f t="shared" si="9"/>
        <v>0</v>
      </c>
      <c r="T25" s="237"/>
      <c r="U25" s="106">
        <f t="shared" si="10"/>
        <v>0</v>
      </c>
      <c r="V25" s="107"/>
    </row>
    <row r="26">
      <c r="A26" s="91"/>
      <c r="B26" s="93"/>
      <c r="C26" s="93"/>
      <c r="D26" s="93"/>
      <c r="E26" s="107"/>
      <c r="F26" s="111" t="str">
        <f>IFERROR(__xludf.DUMMYFUNCTION("""COMPUTED_VALUE"""),"Repairs")</f>
        <v>Repairs</v>
      </c>
      <c r="G26" s="279">
        <f t="array" ref="G26">-if(isblank($F26),,SUMIFS(Transactions!$E:$E,Transactions!$B:$B,$F26, MONTH(Transactions!$C:$C),MONTH(G$4)))</f>
        <v>0</v>
      </c>
      <c r="H26" s="279">
        <f t="array" ref="H26">-if(isblank($F26),,SUMIFS(Transactions!$E:$E,Transactions!$B:$B,$F26, MONTH(Transactions!$C:$C),MONTH(H$4)))</f>
        <v>150</v>
      </c>
      <c r="I26" s="279">
        <f t="array" ref="I26">-if(isblank($F26),,SUMIFS(Transactions!$E:$E,Transactions!$B:$B,$F26, MONTH(Transactions!$C:$C),MONTH(I$4)))</f>
        <v>0</v>
      </c>
      <c r="J26" s="279">
        <f t="array" ref="J26">-if(isblank($F26),,SUMIFS(Transactions!$E:$E,Transactions!$B:$B,$F26, MONTH(Transactions!$C:$C),MONTH(J$4)))</f>
        <v>0</v>
      </c>
      <c r="K26" s="279">
        <f t="array" ref="K26">-if(isblank($F26),,SUMIFS(Transactions!$E:$E,Transactions!$B:$B,$F26, MONTH(Transactions!$C:$C),MONTH(K$4)))</f>
        <v>0</v>
      </c>
      <c r="L26" s="279">
        <f t="array" ref="L26">-if(isblank($F26),,SUMIFS(Transactions!$E:$E,Transactions!$B:$B,$F26, MONTH(Transactions!$C:$C),MONTH(L$4)))</f>
        <v>0</v>
      </c>
      <c r="M26" s="279">
        <f t="array" ref="M26">-if(isblank($F26),,SUMIFS(Transactions!$E:$E,Transactions!$B:$B,$F26, MONTH(Transactions!$C:$C),MONTH(M$4)))</f>
        <v>0</v>
      </c>
      <c r="N26" s="279">
        <f t="array" ref="N26">-if(isblank($F26),,SUMIFS(Transactions!$E:$E,Transactions!$B:$B,$F26, MONTH(Transactions!$C:$C),MONTH(N$4)))</f>
        <v>0</v>
      </c>
      <c r="O26" s="279">
        <f t="array" ref="O26">-if(isblank($F26),,SUMIFS(Transactions!$E:$E,Transactions!$B:$B,$F26, MONTH(Transactions!$C:$C),MONTH(O$4)))</f>
        <v>0</v>
      </c>
      <c r="P26" s="279">
        <f t="array" ref="P26">-if(isblank($F26),,SUMIFS(Transactions!$E:$E,Transactions!$B:$B,$F26, MONTH(Transactions!$C:$C),MONTH(P$4)))</f>
        <v>0</v>
      </c>
      <c r="Q26" s="279">
        <f t="array" ref="Q26">-if(isblank($F26),,SUMIFS(Transactions!$E:$E,Transactions!$B:$B,$F26, MONTH(Transactions!$C:$C),MONTH(Q$4)))</f>
        <v>0</v>
      </c>
      <c r="R26" s="279">
        <f t="array" ref="R26">-if(isblank($F26),,SUMIFS(Transactions!$E:$E,Transactions!$B:$B,$F26, MONTH(Transactions!$C:$C),MONTH(R$4)))</f>
        <v>0</v>
      </c>
      <c r="S26" s="204">
        <f t="shared" si="9"/>
        <v>150</v>
      </c>
      <c r="T26" s="237"/>
      <c r="U26" s="106">
        <f t="shared" si="10"/>
        <v>150</v>
      </c>
      <c r="V26" s="107"/>
    </row>
    <row r="27">
      <c r="A27" s="91"/>
      <c r="B27" s="93"/>
      <c r="C27" s="93"/>
      <c r="D27" s="93"/>
      <c r="E27" s="107"/>
      <c r="F27" s="111" t="str">
        <f>IFERROR(__xludf.DUMMYFUNCTION("""COMPUTED_VALUE"""),"Legal Expenses")</f>
        <v>Legal Expenses</v>
      </c>
      <c r="G27" s="279">
        <f t="array" ref="G27">-if(isblank($F27),,SUMIFS(Transactions!$E:$E,Transactions!$B:$B,$F27, MONTH(Transactions!$C:$C),MONTH(G$4)))</f>
        <v>0</v>
      </c>
      <c r="H27" s="279">
        <f t="array" ref="H27">-if(isblank($F27),,SUMIFS(Transactions!$E:$E,Transactions!$B:$B,$F27, MONTH(Transactions!$C:$C),MONTH(H$4)))</f>
        <v>0</v>
      </c>
      <c r="I27" s="279">
        <f t="array" ref="I27">-if(isblank($F27),,SUMIFS(Transactions!$E:$E,Transactions!$B:$B,$F27, MONTH(Transactions!$C:$C),MONTH(I$4)))</f>
        <v>0</v>
      </c>
      <c r="J27" s="279">
        <f t="array" ref="J27">-if(isblank($F27),,SUMIFS(Transactions!$E:$E,Transactions!$B:$B,$F27, MONTH(Transactions!$C:$C),MONTH(J$4)))</f>
        <v>0</v>
      </c>
      <c r="K27" s="279">
        <f t="array" ref="K27">-if(isblank($F27),,SUMIFS(Transactions!$E:$E,Transactions!$B:$B,$F27, MONTH(Transactions!$C:$C),MONTH(K$4)))</f>
        <v>0</v>
      </c>
      <c r="L27" s="279">
        <f t="array" ref="L27">-if(isblank($F27),,SUMIFS(Transactions!$E:$E,Transactions!$B:$B,$F27, MONTH(Transactions!$C:$C),MONTH(L$4)))</f>
        <v>0</v>
      </c>
      <c r="M27" s="279">
        <f t="array" ref="M27">-if(isblank($F27),,SUMIFS(Transactions!$E:$E,Transactions!$B:$B,$F27, MONTH(Transactions!$C:$C),MONTH(M$4)))</f>
        <v>0</v>
      </c>
      <c r="N27" s="279">
        <f t="array" ref="N27">-if(isblank($F27),,SUMIFS(Transactions!$E:$E,Transactions!$B:$B,$F27, MONTH(Transactions!$C:$C),MONTH(N$4)))</f>
        <v>0</v>
      </c>
      <c r="O27" s="279">
        <f t="array" ref="O27">-if(isblank($F27),,SUMIFS(Transactions!$E:$E,Transactions!$B:$B,$F27, MONTH(Transactions!$C:$C),MONTH(O$4)))</f>
        <v>0</v>
      </c>
      <c r="P27" s="279">
        <f t="array" ref="P27">-if(isblank($F27),,SUMIFS(Transactions!$E:$E,Transactions!$B:$B,$F27, MONTH(Transactions!$C:$C),MONTH(P$4)))</f>
        <v>0</v>
      </c>
      <c r="Q27" s="279">
        <f t="array" ref="Q27">-if(isblank($F27),,SUMIFS(Transactions!$E:$E,Transactions!$B:$B,$F27, MONTH(Transactions!$C:$C),MONTH(Q$4)))</f>
        <v>0</v>
      </c>
      <c r="R27" s="279">
        <f t="array" ref="R27">-if(isblank($F27),,SUMIFS(Transactions!$E:$E,Transactions!$B:$B,$F27, MONTH(Transactions!$C:$C),MONTH(R$4)))</f>
        <v>0</v>
      </c>
      <c r="S27" s="204">
        <f t="shared" si="9"/>
        <v>0</v>
      </c>
      <c r="T27" s="237"/>
      <c r="U27" s="106">
        <f t="shared" si="10"/>
        <v>0</v>
      </c>
      <c r="V27" s="107"/>
    </row>
    <row r="28">
      <c r="A28" s="91"/>
      <c r="B28" s="93"/>
      <c r="C28" s="93"/>
      <c r="D28" s="93"/>
      <c r="E28" s="107"/>
      <c r="F28" s="111" t="str">
        <f>IFERROR(__xludf.DUMMYFUNCTION("""COMPUTED_VALUE"""),"Contractors")</f>
        <v>Contractors</v>
      </c>
      <c r="G28" s="279">
        <f t="array" ref="G28">-if(isblank($F28),,SUMIFS(Transactions!$E:$E,Transactions!$B:$B,$F28, MONTH(Transactions!$C:$C),MONTH(G$4)))</f>
        <v>0</v>
      </c>
      <c r="H28" s="279">
        <f t="array" ref="H28">-if(isblank($F28),,SUMIFS(Transactions!$E:$E,Transactions!$B:$B,$F28, MONTH(Transactions!$C:$C),MONTH(H$4)))</f>
        <v>0</v>
      </c>
      <c r="I28" s="279">
        <f t="array" ref="I28">-if(isblank($F28),,SUMIFS(Transactions!$E:$E,Transactions!$B:$B,$F28, MONTH(Transactions!$C:$C),MONTH(I$4)))</f>
        <v>0</v>
      </c>
      <c r="J28" s="279">
        <f t="array" ref="J28">-if(isblank($F28),,SUMIFS(Transactions!$E:$E,Transactions!$B:$B,$F28, MONTH(Transactions!$C:$C),MONTH(J$4)))</f>
        <v>0</v>
      </c>
      <c r="K28" s="279">
        <f t="array" ref="K28">-if(isblank($F28),,SUMIFS(Transactions!$E:$E,Transactions!$B:$B,$F28, MONTH(Transactions!$C:$C),MONTH(K$4)))</f>
        <v>0</v>
      </c>
      <c r="L28" s="279">
        <f t="array" ref="L28">-if(isblank($F28),,SUMIFS(Transactions!$E:$E,Transactions!$B:$B,$F28, MONTH(Transactions!$C:$C),MONTH(L$4)))</f>
        <v>0</v>
      </c>
      <c r="M28" s="279">
        <f t="array" ref="M28">-if(isblank($F28),,SUMIFS(Transactions!$E:$E,Transactions!$B:$B,$F28, MONTH(Transactions!$C:$C),MONTH(M$4)))</f>
        <v>0</v>
      </c>
      <c r="N28" s="279">
        <f t="array" ref="N28">-if(isblank($F28),,SUMIFS(Transactions!$E:$E,Transactions!$B:$B,$F28, MONTH(Transactions!$C:$C),MONTH(N$4)))</f>
        <v>0</v>
      </c>
      <c r="O28" s="279">
        <f t="array" ref="O28">-if(isblank($F28),,SUMIFS(Transactions!$E:$E,Transactions!$B:$B,$F28, MONTH(Transactions!$C:$C),MONTH(O$4)))</f>
        <v>0</v>
      </c>
      <c r="P28" s="279">
        <f t="array" ref="P28">-if(isblank($F28),,SUMIFS(Transactions!$E:$E,Transactions!$B:$B,$F28, MONTH(Transactions!$C:$C),MONTH(P$4)))</f>
        <v>0</v>
      </c>
      <c r="Q28" s="279">
        <f t="array" ref="Q28">-if(isblank($F28),,SUMIFS(Transactions!$E:$E,Transactions!$B:$B,$F28, MONTH(Transactions!$C:$C),MONTH(Q$4)))</f>
        <v>0</v>
      </c>
      <c r="R28" s="279">
        <f t="array" ref="R28">-if(isblank($F28),,SUMIFS(Transactions!$E:$E,Transactions!$B:$B,$F28, MONTH(Transactions!$C:$C),MONTH(R$4)))</f>
        <v>0</v>
      </c>
      <c r="S28" s="204">
        <f t="shared" si="9"/>
        <v>0</v>
      </c>
      <c r="T28" s="237"/>
      <c r="U28" s="106">
        <f t="shared" si="10"/>
        <v>0</v>
      </c>
      <c r="V28" s="107"/>
    </row>
    <row r="29">
      <c r="A29" s="91"/>
      <c r="B29" s="93"/>
      <c r="C29" s="93"/>
      <c r="D29" s="93"/>
      <c r="E29" s="107"/>
      <c r="F29" s="111" t="str">
        <f>IFERROR(__xludf.DUMMYFUNCTION("""COMPUTED_VALUE"""),"Travel")</f>
        <v>Travel</v>
      </c>
      <c r="G29" s="279">
        <f t="array" ref="G29">-if(isblank($F29),,SUMIFS(Transactions!$E:$E,Transactions!$B:$B,$F29, MONTH(Transactions!$C:$C),MONTH(G$4)))</f>
        <v>250</v>
      </c>
      <c r="H29" s="279">
        <f t="array" ref="H29">-if(isblank($F29),,SUMIFS(Transactions!$E:$E,Transactions!$B:$B,$F29, MONTH(Transactions!$C:$C),MONTH(H$4)))</f>
        <v>0</v>
      </c>
      <c r="I29" s="279">
        <f t="array" ref="I29">-if(isblank($F29),,SUMIFS(Transactions!$E:$E,Transactions!$B:$B,$F29, MONTH(Transactions!$C:$C),MONTH(I$4)))</f>
        <v>0</v>
      </c>
      <c r="J29" s="279">
        <f t="array" ref="J29">-if(isblank($F29),,SUMIFS(Transactions!$E:$E,Transactions!$B:$B,$F29, MONTH(Transactions!$C:$C),MONTH(J$4)))</f>
        <v>0</v>
      </c>
      <c r="K29" s="279">
        <f t="array" ref="K29">-if(isblank($F29),,SUMIFS(Transactions!$E:$E,Transactions!$B:$B,$F29, MONTH(Transactions!$C:$C),MONTH(K$4)))</f>
        <v>0</v>
      </c>
      <c r="L29" s="279">
        <f t="array" ref="L29">-if(isblank($F29),,SUMIFS(Transactions!$E:$E,Transactions!$B:$B,$F29, MONTH(Transactions!$C:$C),MONTH(L$4)))</f>
        <v>0</v>
      </c>
      <c r="M29" s="279">
        <f t="array" ref="M29">-if(isblank($F29),,SUMIFS(Transactions!$E:$E,Transactions!$B:$B,$F29, MONTH(Transactions!$C:$C),MONTH(M$4)))</f>
        <v>0</v>
      </c>
      <c r="N29" s="279">
        <f t="array" ref="N29">-if(isblank($F29),,SUMIFS(Transactions!$E:$E,Transactions!$B:$B,$F29, MONTH(Transactions!$C:$C),MONTH(N$4)))</f>
        <v>0</v>
      </c>
      <c r="O29" s="279">
        <f t="array" ref="O29">-if(isblank($F29),,SUMIFS(Transactions!$E:$E,Transactions!$B:$B,$F29, MONTH(Transactions!$C:$C),MONTH(O$4)))</f>
        <v>0</v>
      </c>
      <c r="P29" s="279">
        <f t="array" ref="P29">-if(isblank($F29),,SUMIFS(Transactions!$E:$E,Transactions!$B:$B,$F29, MONTH(Transactions!$C:$C),MONTH(P$4)))</f>
        <v>0</v>
      </c>
      <c r="Q29" s="279">
        <f t="array" ref="Q29">-if(isblank($F29),,SUMIFS(Transactions!$E:$E,Transactions!$B:$B,$F29, MONTH(Transactions!$C:$C),MONTH(Q$4)))</f>
        <v>0</v>
      </c>
      <c r="R29" s="279">
        <f t="array" ref="R29">-if(isblank($F29),,SUMIFS(Transactions!$E:$E,Transactions!$B:$B,$F29, MONTH(Transactions!$C:$C),MONTH(R$4)))</f>
        <v>0</v>
      </c>
      <c r="S29" s="204">
        <f t="shared" si="9"/>
        <v>250</v>
      </c>
      <c r="T29" s="237"/>
      <c r="U29" s="106">
        <f t="shared" si="10"/>
        <v>250</v>
      </c>
      <c r="V29" s="107"/>
    </row>
    <row r="30">
      <c r="A30" s="91"/>
      <c r="B30" s="93"/>
      <c r="C30" s="93"/>
      <c r="D30" s="93"/>
      <c r="E30" s="107"/>
      <c r="F30" s="111" t="str">
        <f>IFERROR(__xludf.DUMMYFUNCTION("""COMPUTED_VALUE"""),"Meals &amp; Entertainment")</f>
        <v>Meals &amp; Entertainment</v>
      </c>
      <c r="G30" s="279">
        <f t="array" ref="G30">-if(isblank($F30),,SUMIFS(Transactions!$E:$E,Transactions!$B:$B,$F30, MONTH(Transactions!$C:$C),MONTH(G$4)))</f>
        <v>0</v>
      </c>
      <c r="H30" s="279">
        <f t="array" ref="H30">-if(isblank($F30),,SUMIFS(Transactions!$E:$E,Transactions!$B:$B,$F30, MONTH(Transactions!$C:$C),MONTH(H$4)))</f>
        <v>0</v>
      </c>
      <c r="I30" s="279">
        <f t="array" ref="I30">-if(isblank($F30),,SUMIFS(Transactions!$E:$E,Transactions!$B:$B,$F30, MONTH(Transactions!$C:$C),MONTH(I$4)))</f>
        <v>0</v>
      </c>
      <c r="J30" s="279">
        <f t="array" ref="J30">-if(isblank($F30),,SUMIFS(Transactions!$E:$E,Transactions!$B:$B,$F30, MONTH(Transactions!$C:$C),MONTH(J$4)))</f>
        <v>0</v>
      </c>
      <c r="K30" s="279">
        <f t="array" ref="K30">-if(isblank($F30),,SUMIFS(Transactions!$E:$E,Transactions!$B:$B,$F30, MONTH(Transactions!$C:$C),MONTH(K$4)))</f>
        <v>0</v>
      </c>
      <c r="L30" s="279">
        <f t="array" ref="L30">-if(isblank($F30),,SUMIFS(Transactions!$E:$E,Transactions!$B:$B,$F30, MONTH(Transactions!$C:$C),MONTH(L$4)))</f>
        <v>0</v>
      </c>
      <c r="M30" s="279">
        <f t="array" ref="M30">-if(isblank($F30),,SUMIFS(Transactions!$E:$E,Transactions!$B:$B,$F30, MONTH(Transactions!$C:$C),MONTH(M$4)))</f>
        <v>0</v>
      </c>
      <c r="N30" s="279">
        <f t="array" ref="N30">-if(isblank($F30),,SUMIFS(Transactions!$E:$E,Transactions!$B:$B,$F30, MONTH(Transactions!$C:$C),MONTH(N$4)))</f>
        <v>0</v>
      </c>
      <c r="O30" s="279">
        <f t="array" ref="O30">-if(isblank($F30),,SUMIFS(Transactions!$E:$E,Transactions!$B:$B,$F30, MONTH(Transactions!$C:$C),MONTH(O$4)))</f>
        <v>0</v>
      </c>
      <c r="P30" s="279">
        <f t="array" ref="P30">-if(isblank($F30),,SUMIFS(Transactions!$E:$E,Transactions!$B:$B,$F30, MONTH(Transactions!$C:$C),MONTH(P$4)))</f>
        <v>0</v>
      </c>
      <c r="Q30" s="279">
        <f t="array" ref="Q30">-if(isblank($F30),,SUMIFS(Transactions!$E:$E,Transactions!$B:$B,$F30, MONTH(Transactions!$C:$C),MONTH(Q$4)))</f>
        <v>0</v>
      </c>
      <c r="R30" s="279">
        <f t="array" ref="R30">-if(isblank($F30),,SUMIFS(Transactions!$E:$E,Transactions!$B:$B,$F30, MONTH(Transactions!$C:$C),MONTH(R$4)))</f>
        <v>0</v>
      </c>
      <c r="S30" s="204">
        <f t="shared" si="9"/>
        <v>0</v>
      </c>
      <c r="T30" s="237"/>
      <c r="U30" s="106">
        <f t="shared" si="10"/>
        <v>0</v>
      </c>
      <c r="V30" s="107"/>
    </row>
    <row r="31">
      <c r="A31" s="91"/>
      <c r="B31" s="93"/>
      <c r="C31" s="93"/>
      <c r="D31" s="93"/>
      <c r="E31" s="107"/>
      <c r="F31" s="111" t="str">
        <f>IFERROR(__xludf.DUMMYFUNCTION("""COMPUTED_VALUE"""),"Utilities")</f>
        <v>Utilities</v>
      </c>
      <c r="G31" s="279">
        <f t="array" ref="G31">-if(isblank($F31),,SUMIFS(Transactions!$E:$E,Transactions!$B:$B,$F31, MONTH(Transactions!$C:$C),MONTH(G$4)))</f>
        <v>0</v>
      </c>
      <c r="H31" s="279">
        <f t="array" ref="H31">-if(isblank($F31),,SUMIFS(Transactions!$E:$E,Transactions!$B:$B,$F31, MONTH(Transactions!$C:$C),MONTH(H$4)))</f>
        <v>0</v>
      </c>
      <c r="I31" s="279">
        <f t="array" ref="I31">-if(isblank($F31),,SUMIFS(Transactions!$E:$E,Transactions!$B:$B,$F31, MONTH(Transactions!$C:$C),MONTH(I$4)))</f>
        <v>0</v>
      </c>
      <c r="J31" s="279">
        <f t="array" ref="J31">-if(isblank($F31),,SUMIFS(Transactions!$E:$E,Transactions!$B:$B,$F31, MONTH(Transactions!$C:$C),MONTH(J$4)))</f>
        <v>0</v>
      </c>
      <c r="K31" s="279">
        <f t="array" ref="K31">-if(isblank($F31),,SUMIFS(Transactions!$E:$E,Transactions!$B:$B,$F31, MONTH(Transactions!$C:$C),MONTH(K$4)))</f>
        <v>0</v>
      </c>
      <c r="L31" s="279">
        <f t="array" ref="L31">-if(isblank($F31),,SUMIFS(Transactions!$E:$E,Transactions!$B:$B,$F31, MONTH(Transactions!$C:$C),MONTH(L$4)))</f>
        <v>0</v>
      </c>
      <c r="M31" s="279">
        <f t="array" ref="M31">-if(isblank($F31),,SUMIFS(Transactions!$E:$E,Transactions!$B:$B,$F31, MONTH(Transactions!$C:$C),MONTH(M$4)))</f>
        <v>0</v>
      </c>
      <c r="N31" s="279">
        <f t="array" ref="N31">-if(isblank($F31),,SUMIFS(Transactions!$E:$E,Transactions!$B:$B,$F31, MONTH(Transactions!$C:$C),MONTH(N$4)))</f>
        <v>0</v>
      </c>
      <c r="O31" s="279">
        <f t="array" ref="O31">-if(isblank($F31),,SUMIFS(Transactions!$E:$E,Transactions!$B:$B,$F31, MONTH(Transactions!$C:$C),MONTH(O$4)))</f>
        <v>0</v>
      </c>
      <c r="P31" s="279">
        <f t="array" ref="P31">-if(isblank($F31),,SUMIFS(Transactions!$E:$E,Transactions!$B:$B,$F31, MONTH(Transactions!$C:$C),MONTH(P$4)))</f>
        <v>0</v>
      </c>
      <c r="Q31" s="279">
        <f t="array" ref="Q31">-if(isblank($F31),,SUMIFS(Transactions!$E:$E,Transactions!$B:$B,$F31, MONTH(Transactions!$C:$C),MONTH(Q$4)))</f>
        <v>0</v>
      </c>
      <c r="R31" s="279">
        <f t="array" ref="R31">-if(isblank($F31),,SUMIFS(Transactions!$E:$E,Transactions!$B:$B,$F31, MONTH(Transactions!$C:$C),MONTH(R$4)))</f>
        <v>0</v>
      </c>
      <c r="S31" s="204">
        <f t="shared" si="9"/>
        <v>0</v>
      </c>
      <c r="T31" s="237"/>
      <c r="U31" s="106">
        <f t="shared" si="10"/>
        <v>0</v>
      </c>
      <c r="V31" s="107"/>
    </row>
    <row r="32">
      <c r="A32" s="91"/>
      <c r="B32" s="93"/>
      <c r="C32" s="93"/>
      <c r="D32" s="93"/>
      <c r="E32" s="107"/>
      <c r="F32" s="111" t="str">
        <f>IFERROR(__xludf.DUMMYFUNCTION("""COMPUTED_VALUE"""),"Rent")</f>
        <v>Rent</v>
      </c>
      <c r="G32" s="279">
        <f t="array" ref="G32">-if(isblank($F32),,SUMIFS(Transactions!$E:$E,Transactions!$B:$B,$F32, MONTH(Transactions!$C:$C),MONTH(G$4)))</f>
        <v>0</v>
      </c>
      <c r="H32" s="279">
        <f t="array" ref="H32">-if(isblank($F32),,SUMIFS(Transactions!$E:$E,Transactions!$B:$B,$F32, MONTH(Transactions!$C:$C),MONTH(H$4)))</f>
        <v>0</v>
      </c>
      <c r="I32" s="279">
        <f t="array" ref="I32">-if(isblank($F32),,SUMIFS(Transactions!$E:$E,Transactions!$B:$B,$F32, MONTH(Transactions!$C:$C),MONTH(I$4)))</f>
        <v>0</v>
      </c>
      <c r="J32" s="279">
        <f t="array" ref="J32">-if(isblank($F32),,SUMIFS(Transactions!$E:$E,Transactions!$B:$B,$F32, MONTH(Transactions!$C:$C),MONTH(J$4)))</f>
        <v>0</v>
      </c>
      <c r="K32" s="279">
        <f t="array" ref="K32">-if(isblank($F32),,SUMIFS(Transactions!$E:$E,Transactions!$B:$B,$F32, MONTH(Transactions!$C:$C),MONTH(K$4)))</f>
        <v>0</v>
      </c>
      <c r="L32" s="279">
        <f t="array" ref="L32">-if(isblank($F32),,SUMIFS(Transactions!$E:$E,Transactions!$B:$B,$F32, MONTH(Transactions!$C:$C),MONTH(L$4)))</f>
        <v>0</v>
      </c>
      <c r="M32" s="279">
        <f t="array" ref="M32">-if(isblank($F32),,SUMIFS(Transactions!$E:$E,Transactions!$B:$B,$F32, MONTH(Transactions!$C:$C),MONTH(M$4)))</f>
        <v>0</v>
      </c>
      <c r="N32" s="279">
        <f t="array" ref="N32">-if(isblank($F32),,SUMIFS(Transactions!$E:$E,Transactions!$B:$B,$F32, MONTH(Transactions!$C:$C),MONTH(N$4)))</f>
        <v>0</v>
      </c>
      <c r="O32" s="279">
        <f t="array" ref="O32">-if(isblank($F32),,SUMIFS(Transactions!$E:$E,Transactions!$B:$B,$F32, MONTH(Transactions!$C:$C),MONTH(O$4)))</f>
        <v>0</v>
      </c>
      <c r="P32" s="279">
        <f t="array" ref="P32">-if(isblank($F32),,SUMIFS(Transactions!$E:$E,Transactions!$B:$B,$F32, MONTH(Transactions!$C:$C),MONTH(P$4)))</f>
        <v>0</v>
      </c>
      <c r="Q32" s="279">
        <f t="array" ref="Q32">-if(isblank($F32),,SUMIFS(Transactions!$E:$E,Transactions!$B:$B,$F32, MONTH(Transactions!$C:$C),MONTH(Q$4)))</f>
        <v>0</v>
      </c>
      <c r="R32" s="279">
        <f t="array" ref="R32">-if(isblank($F32),,SUMIFS(Transactions!$E:$E,Transactions!$B:$B,$F32, MONTH(Transactions!$C:$C),MONTH(R$4)))</f>
        <v>0</v>
      </c>
      <c r="S32" s="204">
        <f t="shared" si="9"/>
        <v>0</v>
      </c>
      <c r="T32" s="237"/>
      <c r="U32" s="106">
        <f t="shared" si="10"/>
        <v>0</v>
      </c>
      <c r="V32" s="107"/>
    </row>
    <row r="33">
      <c r="A33" s="91"/>
      <c r="B33" s="93"/>
      <c r="C33" s="93"/>
      <c r="D33" s="93"/>
      <c r="E33" s="107"/>
      <c r="F33" s="111" t="str">
        <f>IFERROR(__xludf.DUMMYFUNCTION("""COMPUTED_VALUE"""),"Loan Expenses")</f>
        <v>Loan Expenses</v>
      </c>
      <c r="G33" s="279">
        <f t="array" ref="G33">-if(isblank($F33),,SUMIFS(Transactions!$E:$E,Transactions!$B:$B,$F33, MONTH(Transactions!$C:$C),MONTH(G$4)))</f>
        <v>0</v>
      </c>
      <c r="H33" s="279">
        <f t="array" ref="H33">-if(isblank($F33),,SUMIFS(Transactions!$E:$E,Transactions!$B:$B,$F33, MONTH(Transactions!$C:$C),MONTH(H$4)))</f>
        <v>0</v>
      </c>
      <c r="I33" s="279">
        <f t="array" ref="I33">-if(isblank($F33),,SUMIFS(Transactions!$E:$E,Transactions!$B:$B,$F33, MONTH(Transactions!$C:$C),MONTH(I$4)))</f>
        <v>0</v>
      </c>
      <c r="J33" s="279">
        <f t="array" ref="J33">-if(isblank($F33),,SUMIFS(Transactions!$E:$E,Transactions!$B:$B,$F33, MONTH(Transactions!$C:$C),MONTH(J$4)))</f>
        <v>0</v>
      </c>
      <c r="K33" s="279">
        <f t="array" ref="K33">-if(isblank($F33),,SUMIFS(Transactions!$E:$E,Transactions!$B:$B,$F33, MONTH(Transactions!$C:$C),MONTH(K$4)))</f>
        <v>0</v>
      </c>
      <c r="L33" s="279">
        <f t="array" ref="L33">-if(isblank($F33),,SUMIFS(Transactions!$E:$E,Transactions!$B:$B,$F33, MONTH(Transactions!$C:$C),MONTH(L$4)))</f>
        <v>0</v>
      </c>
      <c r="M33" s="279">
        <f t="array" ref="M33">-if(isblank($F33),,SUMIFS(Transactions!$E:$E,Transactions!$B:$B,$F33, MONTH(Transactions!$C:$C),MONTH(M$4)))</f>
        <v>0</v>
      </c>
      <c r="N33" s="279">
        <f t="array" ref="N33">-if(isblank($F33),,SUMIFS(Transactions!$E:$E,Transactions!$B:$B,$F33, MONTH(Transactions!$C:$C),MONTH(N$4)))</f>
        <v>0</v>
      </c>
      <c r="O33" s="279">
        <f t="array" ref="O33">-if(isblank($F33),,SUMIFS(Transactions!$E:$E,Transactions!$B:$B,$F33, MONTH(Transactions!$C:$C),MONTH(O$4)))</f>
        <v>0</v>
      </c>
      <c r="P33" s="279">
        <f t="array" ref="P33">-if(isblank($F33),,SUMIFS(Transactions!$E:$E,Transactions!$B:$B,$F33, MONTH(Transactions!$C:$C),MONTH(P$4)))</f>
        <v>0</v>
      </c>
      <c r="Q33" s="279">
        <f t="array" ref="Q33">-if(isblank($F33),,SUMIFS(Transactions!$E:$E,Transactions!$B:$B,$F33, MONTH(Transactions!$C:$C),MONTH(Q$4)))</f>
        <v>0</v>
      </c>
      <c r="R33" s="279">
        <f t="array" ref="R33">-if(isblank($F33),,SUMIFS(Transactions!$E:$E,Transactions!$B:$B,$F33, MONTH(Transactions!$C:$C),MONTH(R$4)))</f>
        <v>0</v>
      </c>
      <c r="S33" s="204">
        <f t="shared" si="9"/>
        <v>0</v>
      </c>
      <c r="T33" s="237"/>
      <c r="U33" s="106">
        <f t="shared" si="10"/>
        <v>0</v>
      </c>
      <c r="V33" s="107"/>
    </row>
    <row r="34">
      <c r="A34" s="91"/>
      <c r="B34" s="93"/>
      <c r="C34" s="93"/>
      <c r="D34" s="93"/>
      <c r="E34" s="107"/>
      <c r="F34" s="111" t="str">
        <f>IFERROR(__xludf.DUMMYFUNCTION("""COMPUTED_VALUE"""),"Taxes and Licenses")</f>
        <v>Taxes and Licenses</v>
      </c>
      <c r="G34" s="279">
        <f t="array" ref="G34">-if(isblank($F34),,SUMIFS(Transactions!$E:$E,Transactions!$B:$B,$F34, MONTH(Transactions!$C:$C),MONTH(G$4)))</f>
        <v>0</v>
      </c>
      <c r="H34" s="279">
        <f t="array" ref="H34">-if(isblank($F34),,SUMIFS(Transactions!$E:$E,Transactions!$B:$B,$F34, MONTH(Transactions!$C:$C),MONTH(H$4)))</f>
        <v>0</v>
      </c>
      <c r="I34" s="279">
        <f t="array" ref="I34">-if(isblank($F34),,SUMIFS(Transactions!$E:$E,Transactions!$B:$B,$F34, MONTH(Transactions!$C:$C),MONTH(I$4)))</f>
        <v>0</v>
      </c>
      <c r="J34" s="279">
        <f t="array" ref="J34">-if(isblank($F34),,SUMIFS(Transactions!$E:$E,Transactions!$B:$B,$F34, MONTH(Transactions!$C:$C),MONTH(J$4)))</f>
        <v>0</v>
      </c>
      <c r="K34" s="279">
        <f t="array" ref="K34">-if(isblank($F34),,SUMIFS(Transactions!$E:$E,Transactions!$B:$B,$F34, MONTH(Transactions!$C:$C),MONTH(K$4)))</f>
        <v>0</v>
      </c>
      <c r="L34" s="279">
        <f t="array" ref="L34">-if(isblank($F34),,SUMIFS(Transactions!$E:$E,Transactions!$B:$B,$F34, MONTH(Transactions!$C:$C),MONTH(L$4)))</f>
        <v>0</v>
      </c>
      <c r="M34" s="279">
        <f t="array" ref="M34">-if(isblank($F34),,SUMIFS(Transactions!$E:$E,Transactions!$B:$B,$F34, MONTH(Transactions!$C:$C),MONTH(M$4)))</f>
        <v>0</v>
      </c>
      <c r="N34" s="279">
        <f t="array" ref="N34">-if(isblank($F34),,SUMIFS(Transactions!$E:$E,Transactions!$B:$B,$F34, MONTH(Transactions!$C:$C),MONTH(N$4)))</f>
        <v>0</v>
      </c>
      <c r="O34" s="279">
        <f t="array" ref="O34">-if(isblank($F34),,SUMIFS(Transactions!$E:$E,Transactions!$B:$B,$F34, MONTH(Transactions!$C:$C),MONTH(O$4)))</f>
        <v>0</v>
      </c>
      <c r="P34" s="279">
        <f t="array" ref="P34">-if(isblank($F34),,SUMIFS(Transactions!$E:$E,Transactions!$B:$B,$F34, MONTH(Transactions!$C:$C),MONTH(P$4)))</f>
        <v>0</v>
      </c>
      <c r="Q34" s="279">
        <f t="array" ref="Q34">-if(isblank($F34),,SUMIFS(Transactions!$E:$E,Transactions!$B:$B,$F34, MONTH(Transactions!$C:$C),MONTH(Q$4)))</f>
        <v>0</v>
      </c>
      <c r="R34" s="279">
        <f t="array" ref="R34">-if(isblank($F34),,SUMIFS(Transactions!$E:$E,Transactions!$B:$B,$F34, MONTH(Transactions!$C:$C),MONTH(R$4)))</f>
        <v>0</v>
      </c>
      <c r="S34" s="204">
        <f t="shared" si="9"/>
        <v>0</v>
      </c>
      <c r="T34" s="237"/>
      <c r="U34" s="106">
        <f t="shared" si="10"/>
        <v>0</v>
      </c>
      <c r="V34" s="107"/>
    </row>
    <row r="35">
      <c r="A35" s="91"/>
      <c r="B35" s="93"/>
      <c r="C35" s="93"/>
      <c r="D35" s="93"/>
      <c r="E35" s="107"/>
      <c r="F35" s="111" t="str">
        <f>IFERROR(__xludf.DUMMYFUNCTION("""COMPUTED_VALUE"""),"Other Expenses")</f>
        <v>Other Expenses</v>
      </c>
      <c r="G35" s="279">
        <f t="array" ref="G35">-if(isblank($F35),,SUMIFS(Transactions!$E:$E,Transactions!$B:$B,$F35, MONTH(Transactions!$C:$C),MONTH(G$4)))</f>
        <v>0</v>
      </c>
      <c r="H35" s="279">
        <f t="array" ref="H35">-if(isblank($F35),,SUMIFS(Transactions!$E:$E,Transactions!$B:$B,$F35, MONTH(Transactions!$C:$C),MONTH(H$4)))</f>
        <v>0</v>
      </c>
      <c r="I35" s="279">
        <f t="array" ref="I35">-if(isblank($F35),,SUMIFS(Transactions!$E:$E,Transactions!$B:$B,$F35, MONTH(Transactions!$C:$C),MONTH(I$4)))</f>
        <v>0</v>
      </c>
      <c r="J35" s="279">
        <f t="array" ref="J35">-if(isblank($F35),,SUMIFS(Transactions!$E:$E,Transactions!$B:$B,$F35, MONTH(Transactions!$C:$C),MONTH(J$4)))</f>
        <v>0</v>
      </c>
      <c r="K35" s="279">
        <f t="array" ref="K35">-if(isblank($F35),,SUMIFS(Transactions!$E:$E,Transactions!$B:$B,$F35, MONTH(Transactions!$C:$C),MONTH(K$4)))</f>
        <v>0</v>
      </c>
      <c r="L35" s="279">
        <f t="array" ref="L35">-if(isblank($F35),,SUMIFS(Transactions!$E:$E,Transactions!$B:$B,$F35, MONTH(Transactions!$C:$C),MONTH(L$4)))</f>
        <v>0</v>
      </c>
      <c r="M35" s="279">
        <f t="array" ref="M35">-if(isblank($F35),,SUMIFS(Transactions!$E:$E,Transactions!$B:$B,$F35, MONTH(Transactions!$C:$C),MONTH(M$4)))</f>
        <v>0</v>
      </c>
      <c r="N35" s="279">
        <f t="array" ref="N35">-if(isblank($F35),,SUMIFS(Transactions!$E:$E,Transactions!$B:$B,$F35, MONTH(Transactions!$C:$C),MONTH(N$4)))</f>
        <v>0</v>
      </c>
      <c r="O35" s="279">
        <f t="array" ref="O35">-if(isblank($F35),,SUMIFS(Transactions!$E:$E,Transactions!$B:$B,$F35, MONTH(Transactions!$C:$C),MONTH(O$4)))</f>
        <v>0</v>
      </c>
      <c r="P35" s="279">
        <f t="array" ref="P35">-if(isblank($F35),,SUMIFS(Transactions!$E:$E,Transactions!$B:$B,$F35, MONTH(Transactions!$C:$C),MONTH(P$4)))</f>
        <v>0</v>
      </c>
      <c r="Q35" s="279">
        <f t="array" ref="Q35">-if(isblank($F35),,SUMIFS(Transactions!$E:$E,Transactions!$B:$B,$F35, MONTH(Transactions!$C:$C),MONTH(Q$4)))</f>
        <v>0</v>
      </c>
      <c r="R35" s="279">
        <f t="array" ref="R35">-if(isblank($F35),,SUMIFS(Transactions!$E:$E,Transactions!$B:$B,$F35, MONTH(Transactions!$C:$C),MONTH(R$4)))</f>
        <v>0</v>
      </c>
      <c r="S35" s="204">
        <f t="shared" si="9"/>
        <v>0</v>
      </c>
      <c r="T35" s="237"/>
      <c r="U35" s="106"/>
      <c r="V35" s="107"/>
    </row>
    <row r="36">
      <c r="A36" s="91"/>
      <c r="B36" s="93"/>
      <c r="C36" s="93"/>
      <c r="D36" s="93"/>
      <c r="E36" s="107"/>
      <c r="F36" s="111" t="str">
        <f>IFERROR(__xludf.DUMMYFUNCTION("""COMPUTED_VALUE"""),"Custom Expense 1")</f>
        <v>Custom Expense 1</v>
      </c>
      <c r="G36" s="279">
        <f t="array" ref="G36">-if(isblank($F36),,SUMIFS(Transactions!$E:$E,Transactions!$B:$B,$F36, MONTH(Transactions!$C:$C),MONTH(G$4)))</f>
        <v>0</v>
      </c>
      <c r="H36" s="279">
        <f t="array" ref="H36">-if(isblank($F36),,SUMIFS(Transactions!$E:$E,Transactions!$B:$B,$F36, MONTH(Transactions!$C:$C),MONTH(H$4)))</f>
        <v>0</v>
      </c>
      <c r="I36" s="279">
        <f t="array" ref="I36">-if(isblank($F36),,SUMIFS(Transactions!$E:$E,Transactions!$B:$B,$F36, MONTH(Transactions!$C:$C),MONTH(I$4)))</f>
        <v>0</v>
      </c>
      <c r="J36" s="279">
        <f t="array" ref="J36">-if(isblank($F36),,SUMIFS(Transactions!$E:$E,Transactions!$B:$B,$F36, MONTH(Transactions!$C:$C),MONTH(J$4)))</f>
        <v>0</v>
      </c>
      <c r="K36" s="279">
        <f t="array" ref="K36">-if(isblank($F36),,SUMIFS(Transactions!$E:$E,Transactions!$B:$B,$F36, MONTH(Transactions!$C:$C),MONTH(K$4)))</f>
        <v>0</v>
      </c>
      <c r="L36" s="279">
        <f t="array" ref="L36">-if(isblank($F36),,SUMIFS(Transactions!$E:$E,Transactions!$B:$B,$F36, MONTH(Transactions!$C:$C),MONTH(L$4)))</f>
        <v>0</v>
      </c>
      <c r="M36" s="279">
        <f t="array" ref="M36">-if(isblank($F36),,SUMIFS(Transactions!$E:$E,Transactions!$B:$B,$F36, MONTH(Transactions!$C:$C),MONTH(M$4)))</f>
        <v>0</v>
      </c>
      <c r="N36" s="279">
        <f t="array" ref="N36">-if(isblank($F36),,SUMIFS(Transactions!$E:$E,Transactions!$B:$B,$F36, MONTH(Transactions!$C:$C),MONTH(N$4)))</f>
        <v>0</v>
      </c>
      <c r="O36" s="279">
        <f t="array" ref="O36">-if(isblank($F36),,SUMIFS(Transactions!$E:$E,Transactions!$B:$B,$F36, MONTH(Transactions!$C:$C),MONTH(O$4)))</f>
        <v>0</v>
      </c>
      <c r="P36" s="279">
        <f t="array" ref="P36">-if(isblank($F36),,SUMIFS(Transactions!$E:$E,Transactions!$B:$B,$F36, MONTH(Transactions!$C:$C),MONTH(P$4)))</f>
        <v>0</v>
      </c>
      <c r="Q36" s="279">
        <f t="array" ref="Q36">-if(isblank($F36),,SUMIFS(Transactions!$E:$E,Transactions!$B:$B,$F36, MONTH(Transactions!$C:$C),MONTH(Q$4)))</f>
        <v>0</v>
      </c>
      <c r="R36" s="279">
        <f t="array" ref="R36">-if(isblank($F36),,SUMIFS(Transactions!$E:$E,Transactions!$B:$B,$F36, MONTH(Transactions!$C:$C),MONTH(R$4)))</f>
        <v>0</v>
      </c>
      <c r="S36" s="204">
        <f t="shared" si="9"/>
        <v>0</v>
      </c>
      <c r="T36" s="237"/>
      <c r="U36" s="106"/>
      <c r="V36" s="107"/>
    </row>
    <row r="37">
      <c r="A37" s="91"/>
      <c r="B37" s="93"/>
      <c r="C37" s="93"/>
      <c r="D37" s="93"/>
      <c r="E37" s="107"/>
      <c r="F37" s="111" t="str">
        <f>IFERROR(__xludf.DUMMYFUNCTION("""COMPUTED_VALUE"""),"Custom Expense 2")</f>
        <v>Custom Expense 2</v>
      </c>
      <c r="G37" s="279">
        <f t="array" ref="G37">-if(isblank($F37),,SUMIFS(Transactions!$E:$E,Transactions!$B:$B,$F37, MONTH(Transactions!$C:$C),MONTH(G$4)))</f>
        <v>0</v>
      </c>
      <c r="H37" s="279">
        <f t="array" ref="H37">-if(isblank($F37),,SUMIFS(Transactions!$E:$E,Transactions!$B:$B,$F37, MONTH(Transactions!$C:$C),MONTH(H$4)))</f>
        <v>0</v>
      </c>
      <c r="I37" s="279">
        <f t="array" ref="I37">-if(isblank($F37),,SUMIFS(Transactions!$E:$E,Transactions!$B:$B,$F37, MONTH(Transactions!$C:$C),MONTH(I$4)))</f>
        <v>0</v>
      </c>
      <c r="J37" s="279">
        <f t="array" ref="J37">-if(isblank($F37),,SUMIFS(Transactions!$E:$E,Transactions!$B:$B,$F37, MONTH(Transactions!$C:$C),MONTH(J$4)))</f>
        <v>0</v>
      </c>
      <c r="K37" s="279">
        <f t="array" ref="K37">-if(isblank($F37),,SUMIFS(Transactions!$E:$E,Transactions!$B:$B,$F37, MONTH(Transactions!$C:$C),MONTH(K$4)))</f>
        <v>0</v>
      </c>
      <c r="L37" s="279">
        <f t="array" ref="L37">-if(isblank($F37),,SUMIFS(Transactions!$E:$E,Transactions!$B:$B,$F37, MONTH(Transactions!$C:$C),MONTH(L$4)))</f>
        <v>0</v>
      </c>
      <c r="M37" s="279">
        <f t="array" ref="M37">-if(isblank($F37),,SUMIFS(Transactions!$E:$E,Transactions!$B:$B,$F37, MONTH(Transactions!$C:$C),MONTH(M$4)))</f>
        <v>0</v>
      </c>
      <c r="N37" s="279">
        <f t="array" ref="N37">-if(isblank($F37),,SUMIFS(Transactions!$E:$E,Transactions!$B:$B,$F37, MONTH(Transactions!$C:$C),MONTH(N$4)))</f>
        <v>0</v>
      </c>
      <c r="O37" s="279">
        <f t="array" ref="O37">-if(isblank($F37),,SUMIFS(Transactions!$E:$E,Transactions!$B:$B,$F37, MONTH(Transactions!$C:$C),MONTH(O$4)))</f>
        <v>0</v>
      </c>
      <c r="P37" s="279">
        <f t="array" ref="P37">-if(isblank($F37),,SUMIFS(Transactions!$E:$E,Transactions!$B:$B,$F37, MONTH(Transactions!$C:$C),MONTH(P$4)))</f>
        <v>0</v>
      </c>
      <c r="Q37" s="279">
        <f t="array" ref="Q37">-if(isblank($F37),,SUMIFS(Transactions!$E:$E,Transactions!$B:$B,$F37, MONTH(Transactions!$C:$C),MONTH(Q$4)))</f>
        <v>0</v>
      </c>
      <c r="R37" s="279">
        <f t="array" ref="R37">-if(isblank($F37),,SUMIFS(Transactions!$E:$E,Transactions!$B:$B,$F37, MONTH(Transactions!$C:$C),MONTH(R$4)))</f>
        <v>0</v>
      </c>
      <c r="S37" s="204">
        <f t="shared" si="9"/>
        <v>0</v>
      </c>
      <c r="T37" s="237"/>
      <c r="U37" s="106">
        <f t="shared" ref="U37:U38" si="11">S37*(1+T37)</f>
        <v>0</v>
      </c>
      <c r="V37" s="107"/>
    </row>
    <row r="38">
      <c r="A38" s="91"/>
      <c r="B38" s="93"/>
      <c r="C38" s="93"/>
      <c r="D38" s="93"/>
      <c r="E38" s="107"/>
      <c r="F38" s="280" t="str">
        <f>IFERROR(__xludf.DUMMYFUNCTION("""COMPUTED_VALUE"""),"Custom Expense 3")</f>
        <v>Custom Expense 3</v>
      </c>
      <c r="G38" s="281">
        <f t="array" ref="G38">-if(isblank($F38),,SUMIFS(Transactions!$E:$E,Transactions!$B:$B,$F38, MONTH(Transactions!$C:$C),MONTH(G$4)))</f>
        <v>0</v>
      </c>
      <c r="H38" s="281">
        <f t="array" ref="H38">-if(isblank($F38),,SUMIFS(Transactions!$E:$E,Transactions!$B:$B,$F38, MONTH(Transactions!$C:$C),MONTH(H$4)))</f>
        <v>0</v>
      </c>
      <c r="I38" s="281">
        <f t="array" ref="I38">-if(isblank($F38),,SUMIFS(Transactions!$E:$E,Transactions!$B:$B,$F38, MONTH(Transactions!$C:$C),MONTH(I$4)))</f>
        <v>0</v>
      </c>
      <c r="J38" s="281">
        <f t="array" ref="J38">-if(isblank($F38),,SUMIFS(Transactions!$E:$E,Transactions!$B:$B,$F38, MONTH(Transactions!$C:$C),MONTH(J$4)))</f>
        <v>0</v>
      </c>
      <c r="K38" s="281">
        <f t="array" ref="K38">-if(isblank($F38),,SUMIFS(Transactions!$E:$E,Transactions!$B:$B,$F38, MONTH(Transactions!$C:$C),MONTH(K$4)))</f>
        <v>0</v>
      </c>
      <c r="L38" s="281">
        <f t="array" ref="L38">-if(isblank($F38),,SUMIFS(Transactions!$E:$E,Transactions!$B:$B,$F38, MONTH(Transactions!$C:$C),MONTH(L$4)))</f>
        <v>0</v>
      </c>
      <c r="M38" s="281">
        <f t="array" ref="M38">-if(isblank($F38),,SUMIFS(Transactions!$E:$E,Transactions!$B:$B,$F38, MONTH(Transactions!$C:$C),MONTH(M$4)))</f>
        <v>0</v>
      </c>
      <c r="N38" s="281">
        <f t="array" ref="N38">-if(isblank($F38),,SUMIFS(Transactions!$E:$E,Transactions!$B:$B,$F38, MONTH(Transactions!$C:$C),MONTH(N$4)))</f>
        <v>0</v>
      </c>
      <c r="O38" s="281">
        <f t="array" ref="O38">-if(isblank($F38),,SUMIFS(Transactions!$E:$E,Transactions!$B:$B,$F38, MONTH(Transactions!$C:$C),MONTH(O$4)))</f>
        <v>0</v>
      </c>
      <c r="P38" s="281">
        <f t="array" ref="P38">-if(isblank($F38),,SUMIFS(Transactions!$E:$E,Transactions!$B:$B,$F38, MONTH(Transactions!$C:$C),MONTH(P$4)))</f>
        <v>0</v>
      </c>
      <c r="Q38" s="281">
        <f t="array" ref="Q38">-if(isblank($F38),,SUMIFS(Transactions!$E:$E,Transactions!$B:$B,$F38, MONTH(Transactions!$C:$C),MONTH(Q$4)))</f>
        <v>0</v>
      </c>
      <c r="R38" s="281">
        <f t="array" ref="R38">-if(isblank($F38),,SUMIFS(Transactions!$E:$E,Transactions!$B:$B,$F38, MONTH(Transactions!$C:$C),MONTH(R$4)))</f>
        <v>0</v>
      </c>
      <c r="S38" s="250">
        <f t="shared" si="9"/>
        <v>0</v>
      </c>
      <c r="T38" s="251"/>
      <c r="U38" s="184">
        <f t="shared" si="11"/>
        <v>0</v>
      </c>
      <c r="V38" s="107"/>
    </row>
    <row r="39">
      <c r="A39" s="282"/>
      <c r="B39" s="283"/>
      <c r="C39" s="283"/>
      <c r="D39" s="283"/>
      <c r="E39" s="284"/>
      <c r="F39" s="95" t="s">
        <v>122</v>
      </c>
      <c r="G39" s="285">
        <f t="shared" ref="G39:S39" si="12">sum(G20:G38)</f>
        <v>250</v>
      </c>
      <c r="H39" s="285">
        <f t="shared" si="12"/>
        <v>150</v>
      </c>
      <c r="I39" s="285">
        <f t="shared" si="12"/>
        <v>0</v>
      </c>
      <c r="J39" s="285">
        <f t="shared" si="12"/>
        <v>0</v>
      </c>
      <c r="K39" s="285">
        <f t="shared" si="12"/>
        <v>0</v>
      </c>
      <c r="L39" s="285">
        <f t="shared" si="12"/>
        <v>0</v>
      </c>
      <c r="M39" s="285">
        <f t="shared" si="12"/>
        <v>0</v>
      </c>
      <c r="N39" s="285">
        <f t="shared" si="12"/>
        <v>0</v>
      </c>
      <c r="O39" s="285">
        <f t="shared" si="12"/>
        <v>0</v>
      </c>
      <c r="P39" s="285">
        <f t="shared" si="12"/>
        <v>0</v>
      </c>
      <c r="Q39" s="285">
        <f t="shared" si="12"/>
        <v>0</v>
      </c>
      <c r="R39" s="285">
        <f t="shared" si="12"/>
        <v>0</v>
      </c>
      <c r="S39" s="286">
        <f t="shared" si="12"/>
        <v>400</v>
      </c>
      <c r="T39" s="287"/>
      <c r="U39" s="261">
        <f>sum(U20:U38)</f>
        <v>400</v>
      </c>
      <c r="V39" s="288"/>
    </row>
    <row r="40">
      <c r="A40" s="91"/>
      <c r="B40" s="93"/>
      <c r="C40" s="93"/>
      <c r="D40" s="93"/>
      <c r="E40" s="93"/>
      <c r="F40" s="93"/>
      <c r="G40" s="289"/>
      <c r="H40" s="289"/>
      <c r="I40" s="289"/>
      <c r="J40" s="289"/>
      <c r="K40" s="289"/>
      <c r="L40" s="289"/>
      <c r="M40" s="289"/>
      <c r="N40" s="289"/>
      <c r="O40" s="289"/>
      <c r="P40" s="289"/>
      <c r="Q40" s="289"/>
      <c r="R40" s="289"/>
      <c r="S40" s="103"/>
      <c r="T40" s="105"/>
      <c r="U40" s="106"/>
      <c r="V40" s="107"/>
    </row>
    <row r="41">
      <c r="A41" s="290"/>
      <c r="B41" s="288"/>
      <c r="C41" s="288"/>
      <c r="D41" s="288"/>
      <c r="E41" s="284"/>
      <c r="F41" s="95" t="s">
        <v>123</v>
      </c>
      <c r="G41" s="285">
        <f t="shared" ref="G41:R41" si="13">G18-G39</f>
        <v>550</v>
      </c>
      <c r="H41" s="285">
        <f t="shared" si="13"/>
        <v>950</v>
      </c>
      <c r="I41" s="285">
        <f t="shared" si="13"/>
        <v>1200</v>
      </c>
      <c r="J41" s="285">
        <f t="shared" si="13"/>
        <v>0</v>
      </c>
      <c r="K41" s="285">
        <f t="shared" si="13"/>
        <v>0</v>
      </c>
      <c r="L41" s="285">
        <f t="shared" si="13"/>
        <v>0</v>
      </c>
      <c r="M41" s="285">
        <f t="shared" si="13"/>
        <v>0</v>
      </c>
      <c r="N41" s="285">
        <f t="shared" si="13"/>
        <v>0</v>
      </c>
      <c r="O41" s="285">
        <f t="shared" si="13"/>
        <v>0</v>
      </c>
      <c r="P41" s="285">
        <f t="shared" si="13"/>
        <v>0</v>
      </c>
      <c r="Q41" s="285">
        <f t="shared" si="13"/>
        <v>0</v>
      </c>
      <c r="R41" s="285">
        <f t="shared" si="13"/>
        <v>0</v>
      </c>
      <c r="S41" s="291">
        <f>sum(G41:R41)</f>
        <v>2700</v>
      </c>
      <c r="T41" s="292"/>
      <c r="U41" s="261">
        <f>U18-U39</f>
        <v>3320</v>
      </c>
      <c r="V41" s="288"/>
    </row>
    <row r="42">
      <c r="A42" s="91"/>
      <c r="B42" s="93"/>
      <c r="C42" s="93"/>
      <c r="D42" s="93"/>
      <c r="E42" s="293"/>
      <c r="G42" s="289"/>
      <c r="H42" s="294"/>
      <c r="I42" s="289"/>
      <c r="J42" s="289"/>
      <c r="K42" s="289"/>
      <c r="L42" s="289"/>
      <c r="M42" s="289"/>
      <c r="N42" s="289"/>
      <c r="O42" s="289"/>
      <c r="P42" s="289"/>
      <c r="Q42" s="289"/>
      <c r="R42" s="289"/>
      <c r="S42" s="103"/>
      <c r="T42" s="105"/>
      <c r="U42" s="106"/>
      <c r="V42" s="107"/>
    </row>
    <row r="43">
      <c r="A43" s="91"/>
      <c r="B43" s="93"/>
      <c r="C43" s="93"/>
      <c r="D43" s="93"/>
      <c r="E43" s="293"/>
      <c r="G43" s="294"/>
      <c r="H43" s="289"/>
      <c r="I43" s="289"/>
      <c r="J43" s="289"/>
      <c r="K43" s="289"/>
      <c r="L43" s="289"/>
      <c r="M43" s="289"/>
      <c r="N43" s="289"/>
      <c r="O43" s="289"/>
      <c r="P43" s="289"/>
      <c r="Q43" s="289"/>
      <c r="R43" s="289"/>
      <c r="S43" s="295"/>
      <c r="T43" s="105"/>
      <c r="U43" s="106"/>
      <c r="V43" s="107"/>
    </row>
    <row r="44" ht="19.5" customHeight="1">
      <c r="A44" s="296"/>
      <c r="B44" s="107"/>
      <c r="C44" s="107"/>
      <c r="D44" s="107"/>
      <c r="E44" s="107"/>
      <c r="F44" s="107"/>
      <c r="G44" s="297"/>
      <c r="H44" s="297"/>
      <c r="I44" s="297"/>
      <c r="J44" s="297"/>
      <c r="K44" s="297"/>
      <c r="L44" s="297"/>
      <c r="M44" s="297"/>
      <c r="N44" s="297"/>
      <c r="O44" s="297"/>
      <c r="P44" s="297"/>
      <c r="Q44" s="297"/>
      <c r="R44" s="297"/>
      <c r="S44" s="298"/>
      <c r="T44" s="105"/>
      <c r="U44" s="106"/>
      <c r="V44" s="107"/>
    </row>
  </sheetData>
  <mergeCells count="8">
    <mergeCell ref="G2:R2"/>
    <mergeCell ref="G3:R3"/>
    <mergeCell ref="C4:D4"/>
    <mergeCell ref="E6:F6"/>
    <mergeCell ref="E12:F12"/>
    <mergeCell ref="D13:E17"/>
    <mergeCell ref="E42:F42"/>
    <mergeCell ref="E43:F43"/>
  </mergeCells>
  <dataValidations>
    <dataValidation type="list" allowBlank="1" sqref="F4">
      <formula1>"January,February,March,April,May,June,July,August,September,October,November,December"</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sheetViews>
  <sheetFormatPr customHeight="1" defaultColWidth="12.63" defaultRowHeight="15.75"/>
  <cols>
    <col customWidth="1" min="1" max="1" width="4.5"/>
    <col customWidth="1" min="2" max="2" width="29.25"/>
    <col customWidth="1" min="3" max="3" width="21.75"/>
    <col customWidth="1" min="4" max="4" width="4.5"/>
  </cols>
  <sheetData>
    <row r="1" ht="13.5" customHeight="1">
      <c r="A1" s="12"/>
      <c r="B1" s="18"/>
      <c r="C1" s="21"/>
      <c r="D1" s="21"/>
    </row>
    <row r="2" ht="30.0" customHeight="1">
      <c r="A2" s="25"/>
      <c r="B2" s="61" t="s">
        <v>25</v>
      </c>
    </row>
    <row r="3" ht="18.75" customHeight="1">
      <c r="A3" s="36"/>
      <c r="B3" s="38" t="s">
        <v>26</v>
      </c>
      <c r="D3" s="64"/>
    </row>
    <row r="4" ht="13.5" customHeight="1">
      <c r="A4" s="12"/>
      <c r="B4" s="18"/>
      <c r="C4" s="18"/>
      <c r="D4" s="18"/>
    </row>
    <row r="5" ht="26.25" customHeight="1">
      <c r="A5" s="65"/>
      <c r="B5" s="68" t="s">
        <v>30</v>
      </c>
      <c r="C5" s="48" t="s">
        <v>32</v>
      </c>
      <c r="D5" s="46"/>
    </row>
    <row r="6" ht="5.25" customHeight="1">
      <c r="A6" s="72"/>
      <c r="B6" s="74"/>
      <c r="C6" s="77"/>
      <c r="D6" s="77"/>
    </row>
    <row r="7" ht="18.75" customHeight="1">
      <c r="A7" s="80"/>
      <c r="B7" s="83" t="s">
        <v>36</v>
      </c>
      <c r="C7" s="77" t="s">
        <v>39</v>
      </c>
      <c r="D7" s="77"/>
    </row>
    <row r="8" ht="18.75" customHeight="1">
      <c r="A8" s="80"/>
      <c r="B8" s="83" t="s">
        <v>40</v>
      </c>
      <c r="C8" s="77" t="s">
        <v>39</v>
      </c>
      <c r="D8" s="77"/>
    </row>
    <row r="9" ht="18.75" customHeight="1">
      <c r="A9" s="80"/>
      <c r="B9" s="83" t="s">
        <v>42</v>
      </c>
      <c r="C9" s="77" t="s">
        <v>39</v>
      </c>
      <c r="D9" s="77"/>
    </row>
    <row r="10" ht="18.75" customHeight="1">
      <c r="A10" s="80"/>
      <c r="B10" s="83" t="s">
        <v>43</v>
      </c>
      <c r="C10" s="77" t="s">
        <v>39</v>
      </c>
      <c r="D10" s="77"/>
    </row>
    <row r="11" ht="18.75" customHeight="1">
      <c r="A11" s="80"/>
      <c r="B11" s="83" t="s">
        <v>44</v>
      </c>
      <c r="C11" s="77" t="s">
        <v>39</v>
      </c>
      <c r="D11" s="77"/>
    </row>
    <row r="12" ht="18.75" customHeight="1">
      <c r="A12" s="80"/>
      <c r="B12" s="83" t="s">
        <v>37</v>
      </c>
      <c r="C12" s="77" t="s">
        <v>39</v>
      </c>
      <c r="D12" s="77"/>
    </row>
    <row r="13" ht="18.75" customHeight="1">
      <c r="A13" s="80"/>
      <c r="B13" s="83" t="s">
        <v>45</v>
      </c>
      <c r="C13" s="77" t="s">
        <v>39</v>
      </c>
      <c r="D13" s="77"/>
    </row>
    <row r="14" ht="18.75" customHeight="1">
      <c r="A14" s="80"/>
      <c r="B14" s="83" t="s">
        <v>46</v>
      </c>
      <c r="C14" s="77" t="s">
        <v>39</v>
      </c>
      <c r="D14" s="77"/>
    </row>
    <row r="15" ht="18.75" customHeight="1">
      <c r="A15" s="80"/>
      <c r="B15" s="83" t="s">
        <v>28</v>
      </c>
      <c r="C15" s="77" t="s">
        <v>39</v>
      </c>
      <c r="D15" s="77"/>
    </row>
    <row r="16" ht="18.75" customHeight="1">
      <c r="A16" s="80"/>
      <c r="B16" s="83" t="s">
        <v>47</v>
      </c>
      <c r="C16" s="77" t="s">
        <v>39</v>
      </c>
      <c r="D16" s="77"/>
    </row>
    <row r="17" ht="18.75" customHeight="1">
      <c r="A17" s="80"/>
      <c r="B17" s="83" t="s">
        <v>48</v>
      </c>
      <c r="C17" s="77" t="s">
        <v>39</v>
      </c>
      <c r="D17" s="77"/>
    </row>
    <row r="18" ht="18.75" customHeight="1">
      <c r="A18" s="80"/>
      <c r="B18" s="83" t="s">
        <v>50</v>
      </c>
      <c r="C18" s="77" t="s">
        <v>39</v>
      </c>
      <c r="D18" s="77"/>
    </row>
    <row r="19" ht="18.75" customHeight="1">
      <c r="A19" s="80"/>
      <c r="B19" s="83" t="s">
        <v>51</v>
      </c>
      <c r="C19" s="77" t="s">
        <v>39</v>
      </c>
      <c r="D19" s="77"/>
    </row>
    <row r="20" ht="18.75" customHeight="1">
      <c r="A20" s="80"/>
      <c r="B20" s="83" t="s">
        <v>52</v>
      </c>
      <c r="C20" s="77" t="s">
        <v>39</v>
      </c>
      <c r="D20" s="77"/>
    </row>
    <row r="21" ht="18.75" customHeight="1">
      <c r="A21" s="80"/>
      <c r="B21" s="83" t="s">
        <v>53</v>
      </c>
      <c r="C21" s="77" t="s">
        <v>39</v>
      </c>
      <c r="D21" s="77"/>
    </row>
    <row r="22" ht="18.75" customHeight="1">
      <c r="A22" s="80"/>
      <c r="B22" s="83" t="s">
        <v>54</v>
      </c>
      <c r="C22" s="77" t="s">
        <v>39</v>
      </c>
      <c r="D22" s="77"/>
    </row>
    <row r="23" ht="18.75" customHeight="1">
      <c r="A23" s="80"/>
      <c r="B23" s="83" t="s">
        <v>55</v>
      </c>
      <c r="C23" s="77" t="s">
        <v>39</v>
      </c>
      <c r="D23" s="77"/>
    </row>
    <row r="24" ht="18.75" customHeight="1">
      <c r="A24" s="97"/>
      <c r="B24" s="99" t="s">
        <v>56</v>
      </c>
      <c r="C24" s="100" t="s">
        <v>39</v>
      </c>
      <c r="D24" s="101"/>
    </row>
    <row r="25" ht="18.75" customHeight="1">
      <c r="A25" s="80"/>
      <c r="B25" s="83" t="s">
        <v>57</v>
      </c>
      <c r="C25" s="77" t="s">
        <v>57</v>
      </c>
      <c r="D25" s="77"/>
    </row>
    <row r="26" ht="18.75" customHeight="1">
      <c r="A26" s="80"/>
      <c r="B26" s="83" t="s">
        <v>58</v>
      </c>
      <c r="C26" s="77" t="s">
        <v>57</v>
      </c>
      <c r="D26" s="77"/>
    </row>
    <row r="27" ht="18.75" customHeight="1">
      <c r="A27" s="97"/>
      <c r="B27" s="99" t="s">
        <v>59</v>
      </c>
      <c r="C27" s="100" t="s">
        <v>57</v>
      </c>
      <c r="D27" s="101"/>
    </row>
    <row r="28" ht="18.75" customHeight="1">
      <c r="A28" s="80"/>
      <c r="B28" s="83" t="s">
        <v>23</v>
      </c>
      <c r="C28" s="77" t="s">
        <v>49</v>
      </c>
      <c r="D28" s="77"/>
    </row>
    <row r="29" ht="18.75" customHeight="1">
      <c r="A29" s="80"/>
      <c r="B29" s="83" t="s">
        <v>60</v>
      </c>
      <c r="C29" s="77" t="s">
        <v>49</v>
      </c>
      <c r="D29" s="77"/>
    </row>
    <row r="30" ht="18.75" customHeight="1">
      <c r="A30" s="80"/>
      <c r="B30" s="83" t="s">
        <v>61</v>
      </c>
      <c r="C30" s="77" t="s">
        <v>49</v>
      </c>
      <c r="D30" s="77"/>
    </row>
    <row r="31" ht="18.75" customHeight="1">
      <c r="A31" s="80"/>
      <c r="B31" s="83"/>
      <c r="C31" s="77"/>
      <c r="D31" s="77"/>
    </row>
  </sheetData>
  <mergeCells count="2">
    <mergeCell ref="B2:D2"/>
    <mergeCell ref="B3:C3"/>
  </mergeCells>
  <dataValidations>
    <dataValidation type="list" allowBlank="1" showInputMessage="1" prompt="This is not a recognized category type. To add a new type, go to Data &gt; Validation in the menus." sqref="C7:C31">
      <formula1>"Expenses,Cost of Goods Sold,Revenue"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sheetViews>
  <sheetFormatPr customHeight="1" defaultColWidth="12.63" defaultRowHeight="15.75"/>
  <cols>
    <col customWidth="1" min="1" max="2" width="4.5"/>
    <col customWidth="1" min="3" max="3" width="5.88"/>
    <col customWidth="1" min="4" max="4" width="6.5"/>
    <col customWidth="1" min="5" max="5" width="30.13"/>
    <col customWidth="1" min="6" max="6" width="12.88"/>
    <col customWidth="1" min="7" max="7" width="4.5"/>
  </cols>
  <sheetData>
    <row r="1" ht="22.5" customHeight="1">
      <c r="A1" s="112"/>
      <c r="B1" s="113"/>
      <c r="F1" s="115" t="s">
        <v>62</v>
      </c>
      <c r="G1" s="117"/>
    </row>
    <row r="2" ht="30.0" customHeight="1">
      <c r="A2" s="119"/>
      <c r="B2" s="20" t="s">
        <v>63</v>
      </c>
      <c r="C2" s="20"/>
      <c r="D2" s="20"/>
      <c r="E2" s="20"/>
      <c r="F2" s="121" t="s">
        <v>64</v>
      </c>
      <c r="G2" s="123"/>
    </row>
    <row r="3" ht="30.75" customHeight="1">
      <c r="A3" s="126"/>
      <c r="B3" s="128" t="s">
        <v>65</v>
      </c>
      <c r="C3" s="129"/>
      <c r="D3" s="129"/>
      <c r="E3" s="129"/>
      <c r="F3" s="130"/>
      <c r="G3" s="126"/>
    </row>
    <row r="4" ht="15.0" customHeight="1">
      <c r="A4" s="131"/>
      <c r="B4" s="131"/>
      <c r="C4" s="131"/>
      <c r="D4" s="131"/>
      <c r="E4" s="131"/>
      <c r="F4" s="131"/>
      <c r="G4" s="131"/>
    </row>
    <row r="5" ht="33.0" customHeight="1">
      <c r="A5" s="132"/>
      <c r="B5" s="133" t="s">
        <v>66</v>
      </c>
      <c r="C5" s="134"/>
      <c r="D5" s="134"/>
      <c r="E5" s="134"/>
      <c r="F5" s="135"/>
      <c r="G5" s="136"/>
    </row>
    <row r="6" ht="18.75" customHeight="1">
      <c r="A6" s="137"/>
      <c r="B6" s="137"/>
      <c r="C6" s="137"/>
      <c r="D6" s="138"/>
      <c r="E6" s="137"/>
      <c r="F6" s="139"/>
      <c r="G6" s="139"/>
    </row>
    <row r="7">
      <c r="A7" s="137"/>
      <c r="B7" s="137"/>
      <c r="C7" s="137"/>
      <c r="D7" s="138" t="s">
        <v>67</v>
      </c>
      <c r="E7" s="137"/>
      <c r="F7" s="139"/>
      <c r="G7" s="139"/>
    </row>
    <row r="8">
      <c r="A8" s="137"/>
      <c r="B8" s="137"/>
      <c r="C8" s="137"/>
      <c r="D8" s="137"/>
      <c r="E8" s="140" t="s">
        <v>68</v>
      </c>
      <c r="F8" s="142"/>
      <c r="G8" s="143"/>
    </row>
    <row r="9">
      <c r="A9" s="137"/>
      <c r="B9" s="137"/>
      <c r="C9" s="137"/>
      <c r="D9" s="137"/>
      <c r="E9" s="140" t="s">
        <v>69</v>
      </c>
      <c r="F9" s="144"/>
      <c r="G9" s="145"/>
    </row>
    <row r="10">
      <c r="A10" s="137"/>
      <c r="B10" s="137"/>
      <c r="C10" s="137"/>
      <c r="D10" s="146"/>
      <c r="E10" s="147" t="s">
        <v>70</v>
      </c>
      <c r="F10" s="148">
        <f>sum(F7:F9)</f>
        <v>0</v>
      </c>
      <c r="G10" s="149"/>
    </row>
    <row r="11" ht="18.75" customHeight="1">
      <c r="A11" s="137"/>
      <c r="B11" s="137"/>
      <c r="C11" s="137"/>
      <c r="D11" s="138"/>
      <c r="E11" s="150"/>
      <c r="F11" s="151"/>
      <c r="G11" s="149"/>
    </row>
    <row r="12">
      <c r="A12" s="137"/>
      <c r="B12" s="137"/>
      <c r="C12" s="137"/>
      <c r="D12" s="138" t="s">
        <v>71</v>
      </c>
      <c r="E12" s="150"/>
      <c r="F12" s="151"/>
      <c r="G12" s="149"/>
    </row>
    <row r="13">
      <c r="A13" s="137"/>
      <c r="B13" s="137"/>
      <c r="C13" s="137"/>
      <c r="D13" s="146"/>
      <c r="E13" s="150" t="s">
        <v>72</v>
      </c>
      <c r="F13" s="142"/>
      <c r="G13" s="149"/>
    </row>
    <row r="14">
      <c r="A14" s="152"/>
      <c r="B14" s="152"/>
      <c r="C14" s="152"/>
      <c r="D14" s="137"/>
      <c r="E14" s="150" t="s">
        <v>73</v>
      </c>
      <c r="F14" s="153"/>
      <c r="G14" s="149"/>
    </row>
    <row r="15">
      <c r="A15" s="137"/>
      <c r="B15" s="137"/>
      <c r="C15" s="137"/>
      <c r="D15" s="137"/>
      <c r="E15" s="150" t="s">
        <v>74</v>
      </c>
      <c r="F15" s="153"/>
      <c r="G15" s="145"/>
    </row>
    <row r="16">
      <c r="A16" s="137"/>
      <c r="B16" s="137"/>
      <c r="C16" s="137"/>
      <c r="D16" s="146"/>
      <c r="E16" s="147" t="s">
        <v>75</v>
      </c>
      <c r="F16" s="148">
        <f>sum(F12:F15)</f>
        <v>0</v>
      </c>
      <c r="G16" s="145"/>
    </row>
    <row r="17" ht="18.75" customHeight="1">
      <c r="A17" s="137"/>
      <c r="B17" s="137"/>
      <c r="C17" s="137"/>
      <c r="D17" s="138"/>
      <c r="E17" s="150"/>
      <c r="F17" s="155"/>
      <c r="G17" s="145"/>
    </row>
    <row r="18">
      <c r="A18" s="137"/>
      <c r="B18" s="137"/>
      <c r="C18" s="137"/>
      <c r="D18" s="138" t="s">
        <v>76</v>
      </c>
      <c r="E18" s="150"/>
      <c r="F18" s="155"/>
      <c r="G18" s="145"/>
    </row>
    <row r="19">
      <c r="A19" s="152"/>
      <c r="B19" s="152"/>
      <c r="C19" s="152"/>
      <c r="D19" s="137"/>
      <c r="E19" s="150" t="s">
        <v>77</v>
      </c>
      <c r="F19" s="153"/>
      <c r="G19" s="145"/>
    </row>
    <row r="20">
      <c r="A20" s="137"/>
      <c r="B20" s="137"/>
      <c r="C20" s="137"/>
      <c r="D20" s="137"/>
      <c r="E20" s="150" t="s">
        <v>78</v>
      </c>
      <c r="F20" s="153"/>
      <c r="G20" s="149"/>
    </row>
    <row r="21">
      <c r="A21" s="137"/>
      <c r="B21" s="137"/>
      <c r="C21" s="137"/>
      <c r="D21" s="137"/>
      <c r="E21" s="150" t="s">
        <v>79</v>
      </c>
      <c r="F21" s="153"/>
      <c r="G21" s="149"/>
    </row>
    <row r="22">
      <c r="A22" s="137"/>
      <c r="B22" s="137"/>
      <c r="C22" s="137"/>
      <c r="D22" s="137"/>
      <c r="E22" s="150" t="s">
        <v>80</v>
      </c>
      <c r="F22" s="153"/>
      <c r="G22" s="139"/>
    </row>
    <row r="23">
      <c r="A23" s="137"/>
      <c r="B23" s="137"/>
      <c r="C23" s="137"/>
      <c r="D23" s="137"/>
      <c r="E23" s="150" t="s">
        <v>81</v>
      </c>
      <c r="F23" s="153"/>
      <c r="G23" s="156"/>
    </row>
    <row r="24">
      <c r="A24" s="137"/>
      <c r="B24" s="137"/>
      <c r="C24" s="137"/>
      <c r="D24" s="137"/>
      <c r="E24" s="147" t="s">
        <v>82</v>
      </c>
      <c r="F24" s="148">
        <f>sum(F18:F23)</f>
        <v>0</v>
      </c>
      <c r="G24" s="139"/>
    </row>
    <row r="25" ht="18.75" customHeight="1">
      <c r="A25" s="157"/>
      <c r="B25" s="157"/>
      <c r="C25" s="157"/>
      <c r="D25" s="138"/>
      <c r="E25" s="157"/>
      <c r="F25" s="158"/>
      <c r="G25" s="159"/>
    </row>
    <row r="26">
      <c r="A26" s="157"/>
      <c r="B26" s="157"/>
      <c r="C26" s="157"/>
      <c r="D26" s="138" t="s">
        <v>83</v>
      </c>
      <c r="E26" s="157"/>
      <c r="F26" s="158"/>
      <c r="G26" s="159"/>
    </row>
    <row r="27">
      <c r="A27" s="157"/>
      <c r="B27" s="157"/>
      <c r="C27" s="157"/>
      <c r="D27" s="157"/>
      <c r="E27" s="150" t="s">
        <v>83</v>
      </c>
      <c r="F27" s="153"/>
      <c r="G27" s="160"/>
    </row>
    <row r="28">
      <c r="A28" s="157"/>
      <c r="B28" s="157"/>
      <c r="C28" s="157"/>
      <c r="D28" s="157"/>
      <c r="E28" s="147" t="s">
        <v>84</v>
      </c>
      <c r="F28" s="148">
        <f>sum(F26:F27)</f>
        <v>0</v>
      </c>
      <c r="G28" s="161"/>
    </row>
    <row r="29" ht="23.25" customHeight="1">
      <c r="A29" s="162"/>
      <c r="B29" s="162"/>
      <c r="C29" s="162"/>
      <c r="D29" s="162"/>
      <c r="E29" s="162"/>
      <c r="F29" s="151"/>
      <c r="G29" s="161"/>
    </row>
    <row r="30">
      <c r="A30" s="162"/>
      <c r="B30" s="162"/>
      <c r="C30" s="162" t="s">
        <v>85</v>
      </c>
      <c r="F30" s="148">
        <f>sum(F10,F16,F24,F28)</f>
        <v>0</v>
      </c>
      <c r="G30" s="161"/>
    </row>
    <row r="31" ht="18.75" customHeight="1">
      <c r="A31" s="137"/>
      <c r="B31" s="163"/>
      <c r="C31" s="163"/>
      <c r="D31" s="163"/>
      <c r="E31" s="163"/>
      <c r="F31" s="164"/>
      <c r="G31" s="149"/>
    </row>
    <row r="32" ht="42.0" customHeight="1">
      <c r="A32" s="132"/>
      <c r="B32" s="133" t="s">
        <v>86</v>
      </c>
      <c r="C32" s="165"/>
      <c r="D32" s="135"/>
      <c r="E32" s="135"/>
      <c r="F32" s="135"/>
      <c r="G32" s="166"/>
    </row>
    <row r="33" ht="18.75" customHeight="1">
      <c r="A33" s="137"/>
      <c r="B33" s="137"/>
      <c r="C33" s="137"/>
      <c r="D33" s="137"/>
      <c r="E33" s="137"/>
      <c r="F33" s="137"/>
      <c r="G33" s="139"/>
    </row>
    <row r="34">
      <c r="A34" s="137"/>
      <c r="B34" s="137"/>
      <c r="C34" s="137"/>
      <c r="D34" s="138" t="s">
        <v>87</v>
      </c>
      <c r="E34" s="167"/>
      <c r="F34" s="151"/>
      <c r="G34" s="149"/>
    </row>
    <row r="35">
      <c r="A35" s="137"/>
      <c r="B35" s="137"/>
      <c r="C35" s="137"/>
      <c r="D35" s="137"/>
      <c r="E35" s="167" t="s">
        <v>88</v>
      </c>
      <c r="F35" s="153"/>
      <c r="G35" s="149"/>
    </row>
    <row r="36">
      <c r="A36" s="137"/>
      <c r="B36" s="137"/>
      <c r="C36" s="137"/>
      <c r="D36" s="137"/>
      <c r="E36" s="140" t="s">
        <v>89</v>
      </c>
      <c r="F36" s="153"/>
      <c r="G36" s="145"/>
    </row>
    <row r="37">
      <c r="A37" s="137"/>
      <c r="B37" s="137"/>
      <c r="C37" s="137"/>
      <c r="D37" s="137"/>
      <c r="E37" s="140" t="s">
        <v>90</v>
      </c>
      <c r="F37" s="153"/>
      <c r="G37" s="149"/>
    </row>
    <row r="38">
      <c r="A38" s="137"/>
      <c r="B38" s="137"/>
      <c r="C38" s="137"/>
      <c r="D38" s="137"/>
      <c r="E38" s="147" t="s">
        <v>91</v>
      </c>
      <c r="F38" s="148">
        <f>sum(F34:F37)</f>
        <v>0</v>
      </c>
      <c r="G38" s="149"/>
    </row>
    <row r="39" ht="18.75" customHeight="1">
      <c r="A39" s="137"/>
      <c r="B39" s="137"/>
      <c r="C39" s="137"/>
      <c r="D39" s="138"/>
      <c r="E39" s="140"/>
      <c r="F39" s="151"/>
      <c r="G39" s="149"/>
    </row>
    <row r="40">
      <c r="A40" s="137"/>
      <c r="B40" s="137"/>
      <c r="C40" s="137"/>
      <c r="D40" s="138" t="s">
        <v>92</v>
      </c>
      <c r="E40" s="140"/>
      <c r="F40" s="151"/>
      <c r="G40" s="149"/>
    </row>
    <row r="41">
      <c r="A41" s="137"/>
      <c r="B41" s="137"/>
      <c r="C41" s="137"/>
      <c r="D41" s="137"/>
      <c r="E41" s="140" t="s">
        <v>93</v>
      </c>
      <c r="F41" s="153"/>
      <c r="G41" s="149"/>
    </row>
    <row r="42">
      <c r="A42" s="137"/>
      <c r="B42" s="137"/>
      <c r="C42" s="137"/>
      <c r="D42" s="137"/>
      <c r="E42" s="140" t="s">
        <v>94</v>
      </c>
      <c r="F42" s="153"/>
      <c r="G42" s="145"/>
    </row>
    <row r="43">
      <c r="A43" s="137"/>
      <c r="B43" s="137"/>
      <c r="C43" s="137"/>
      <c r="D43" s="137"/>
      <c r="E43" s="140" t="s">
        <v>95</v>
      </c>
      <c r="F43" s="153"/>
      <c r="G43" s="149"/>
    </row>
    <row r="44">
      <c r="A44" s="137"/>
      <c r="B44" s="137"/>
      <c r="C44" s="137"/>
      <c r="D44" s="137"/>
      <c r="E44" s="147" t="s">
        <v>96</v>
      </c>
      <c r="F44" s="148">
        <f>sum(F40:F43)</f>
        <v>0</v>
      </c>
      <c r="G44" s="149"/>
    </row>
    <row r="45" ht="18.75" customHeight="1">
      <c r="A45" s="137"/>
      <c r="B45" s="137"/>
      <c r="C45" s="137"/>
      <c r="D45" s="168"/>
      <c r="E45" s="168"/>
      <c r="F45" s="169"/>
      <c r="G45" s="161"/>
    </row>
    <row r="46">
      <c r="A46" s="137"/>
      <c r="B46" s="137"/>
      <c r="C46" s="137"/>
      <c r="D46" s="168" t="s">
        <v>97</v>
      </c>
      <c r="F46" s="148">
        <f>sum(F38,F44)</f>
        <v>0</v>
      </c>
      <c r="G46" s="161"/>
    </row>
    <row r="47" ht="18.75" customHeight="1">
      <c r="A47" s="137"/>
      <c r="B47" s="137"/>
      <c r="C47" s="137"/>
      <c r="D47" s="137"/>
      <c r="E47" s="137"/>
      <c r="F47" s="151"/>
      <c r="G47" s="149"/>
    </row>
    <row r="48">
      <c r="A48" s="137"/>
      <c r="B48" s="137"/>
      <c r="C48" s="137"/>
      <c r="D48" s="170" t="s">
        <v>98</v>
      </c>
      <c r="F48" s="171"/>
      <c r="G48" s="172"/>
    </row>
    <row r="49">
      <c r="A49" s="137"/>
      <c r="B49" s="137"/>
      <c r="C49" s="137"/>
      <c r="D49" s="137"/>
      <c r="E49" s="140" t="s">
        <v>99</v>
      </c>
      <c r="F49" s="153"/>
      <c r="G49" s="145"/>
    </row>
    <row r="50">
      <c r="A50" s="137"/>
      <c r="B50" s="137"/>
      <c r="C50" s="137"/>
      <c r="D50" s="137"/>
      <c r="E50" s="140" t="s">
        <v>100</v>
      </c>
      <c r="F50" s="153"/>
      <c r="G50" s="145"/>
    </row>
    <row r="51">
      <c r="A51" s="137"/>
      <c r="B51" s="137"/>
      <c r="C51" s="137"/>
      <c r="D51" s="137"/>
      <c r="E51" s="140" t="s">
        <v>101</v>
      </c>
      <c r="F51" s="153"/>
      <c r="G51" s="145"/>
    </row>
    <row r="52" ht="18.75" customHeight="1">
      <c r="A52" s="137"/>
      <c r="B52" s="137"/>
      <c r="C52" s="137"/>
      <c r="D52" s="168"/>
      <c r="E52" s="168"/>
      <c r="F52" s="169"/>
      <c r="G52" s="161"/>
    </row>
    <row r="53">
      <c r="A53" s="137"/>
      <c r="B53" s="137"/>
      <c r="C53" s="137"/>
      <c r="D53" s="168" t="s">
        <v>102</v>
      </c>
      <c r="F53" s="148">
        <f>sum(F48:F51)</f>
        <v>0</v>
      </c>
      <c r="G53" s="161"/>
    </row>
    <row r="54" ht="18.75" customHeight="1">
      <c r="A54" s="137"/>
      <c r="B54" s="173"/>
      <c r="C54" s="173"/>
      <c r="D54" s="173"/>
      <c r="E54" s="173"/>
      <c r="F54" s="173"/>
      <c r="G54" s="139"/>
    </row>
    <row r="55" ht="18.75" customHeight="1">
      <c r="A55" s="157"/>
      <c r="B55" s="157"/>
      <c r="C55" s="157"/>
      <c r="D55" s="157"/>
      <c r="E55" s="157"/>
      <c r="F55" s="169"/>
      <c r="G55" s="161"/>
    </row>
    <row r="56" ht="18.0" customHeight="1">
      <c r="A56" s="157"/>
      <c r="B56" s="157"/>
      <c r="C56" s="157" t="s">
        <v>103</v>
      </c>
      <c r="F56" s="148">
        <f>(F46+F53)</f>
        <v>0</v>
      </c>
      <c r="G56" s="161"/>
    </row>
    <row r="57" ht="18.75" customHeight="1">
      <c r="A57" s="167"/>
      <c r="B57" s="167"/>
      <c r="C57" s="167"/>
      <c r="D57" s="167"/>
      <c r="E57" s="167"/>
      <c r="F57" s="167"/>
      <c r="G57" s="174"/>
    </row>
    <row r="58">
      <c r="A58" s="140"/>
      <c r="B58" s="140"/>
      <c r="C58" s="140" t="s">
        <v>104</v>
      </c>
      <c r="D58" s="167"/>
      <c r="E58" s="167"/>
      <c r="F58" s="148">
        <f>F30-F56</f>
        <v>0</v>
      </c>
      <c r="G58" s="174"/>
    </row>
    <row r="59" ht="32.25" customHeight="1">
      <c r="A59" s="167"/>
      <c r="B59" s="167"/>
      <c r="C59" s="167"/>
      <c r="D59" s="167"/>
      <c r="E59" s="167"/>
      <c r="F59" s="167"/>
      <c r="G59" s="174"/>
    </row>
  </sheetData>
  <mergeCells count="7">
    <mergeCell ref="B1:E1"/>
    <mergeCell ref="B5:E5"/>
    <mergeCell ref="C30:E30"/>
    <mergeCell ref="D46:E46"/>
    <mergeCell ref="D48:E48"/>
    <mergeCell ref="D53:E53"/>
    <mergeCell ref="C56:E56"/>
  </mergeCells>
  <drawing r:id="rId1"/>
</worksheet>
</file>