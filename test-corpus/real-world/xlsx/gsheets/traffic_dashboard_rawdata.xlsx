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permetricsQueries" sheetId="1" r:id="rId4"/>
    <sheet state="visible" name="Traffic Dashboard" sheetId="2" r:id="rId5"/>
    <sheet state="visible" name="RawData" sheetId="3" r:id="rId6"/>
    <sheet state="visible" name="Instructions" sheetId="4" r:id="rId7"/>
  </sheets>
  <definedNames>
    <definedName name="zsupermetrics_fLccNanwfgLiXwrEPyMK7lYghc956O">RawData!$Q$3:$S$57</definedName>
    <definedName name="zsupermetrics_V7D8bLrRAfoX6esl0vHJWHWF99pWbi">RawData!$AD$14:$AP$18</definedName>
    <definedName localSheetId="1" name="zsupermetrics_GollWneUWz9jEtDUFyVzuozqyrZI5L">#REF!</definedName>
    <definedName name="zsupermetrics_Wk9OpkHfbIa08VQsgSFGks6won42Al">RawData!$AD$3:$AP$11</definedName>
    <definedName name="zsupermetrics_kvlmQeHYoLRFxu7MPFqXAWOlPOyxsL">RawData!$AD$3:$AP$11</definedName>
    <definedName localSheetId="1" name="zsupermetrics_gyCp8tRRFoEWdfvljO6rIOfMXdEkW4">#REF!</definedName>
    <definedName name="zsupermetrics_uw1iVztjfTNXySzSwGJchG0T18IGGr">RawData!$B$4:$N$14</definedName>
    <definedName name="zsupermetrics_km2MuACEhLAFwFJfnA5ApwBzt3hPwe">RawData!$U$3:$X$57</definedName>
    <definedName localSheetId="1" name="zsupermetrics_ASmWSLVAZpNEZnROjRtjpPnqivXMJN">#REF!</definedName>
    <definedName name="zsupermetrics_UtgKARcsNMj6uyu1c7gi9rSlGkbo02">RawData!$AD$14:$AP$18</definedName>
    <definedName name="zsupermetrics_KZQmPV9KsXDpnW4edPoTeh3Fsw2SRr">RawData!$Q$3:$S$57</definedName>
    <definedName name="zsupermetrics_iUSMhGYLLTsj9TryRGU7Sm2NDc2hWx">RawData!$Z$3:$AB$10</definedName>
    <definedName name="zsupermetrics_soCeKLTRN3F2CC1LXhS5l1rb6vSgvB">'Traffic Dashboard'!$C$36:$D$57</definedName>
    <definedName name="zsupermetrics_yKDA3oHGDUToQfWdpDIGFnK1zsGqJ5">RawData!$Z$14:$AB$18</definedName>
    <definedName name="zsupermetrics_RHzJaap6zqV7UDnv9dAjBzi4oZhGqU">RawData!$AD$14:$AP$18</definedName>
    <definedName localSheetId="1" name="zsupermetrics_eeHV5bWCGzuMQLdaIWqLH4nB1EeG0X">'Traffic Dashboard'!$C$35:$D$57</definedName>
    <definedName name="zsupermetrics_FfuNxBfh6Qu63V8R3Kw1kwbdVZxXnC">RawData!$Z$3:$AB$10</definedName>
    <definedName localSheetId="1" name="zsupermetrics_wcYOQONrkg7AIVyxgkbrLVOdenvNMt">#REF!</definedName>
    <definedName name="zsupermetrics_g2u7LzBOcBOnMs25Y02G12smse96bw">RawData!$U$3:$X$57</definedName>
    <definedName localSheetId="1" name="zsupermetrics_U268zO1zKJ6xCqytJcoL4ZGDgfNQNW">#REF!</definedName>
    <definedName name="zsupermetrics_jUJIRk1QmiYNIWGCIvu9jiCymVIG8j">RawData!$AD$14:$AP$18</definedName>
    <definedName localSheetId="1" name="zsupermetrics_sTRoMUOZAQXWv0NLzfN9fUc99BbXDG">#REF!</definedName>
    <definedName name="zsupermetrics_CjHVB1rykvTwH3Ee5CzRM1bKS2qX4s">RawData!$B$30:$N$57</definedName>
    <definedName localSheetId="1" name="zsupermetrics_ks8byweTq0ZvMpxgJwm70LXqaGOSQT">#REF!</definedName>
    <definedName name="zsupermetrics_dnVG7ifsJOQIutUAC9cQEVGWbAaPF5">RawData!$U$3:$X$57</definedName>
    <definedName name="zsupermetrics_refreshAllSilent">SupermetricsQueries!$H$6</definedName>
    <definedName name="zsupermetrics_1uIP5Fck3SwdBmsjEq8nCC93kef8Z8">'Traffic Dashboard'!$C$36:$D$57</definedName>
    <definedName localSheetId="1" name="zsupermetrics_13Ft7VWubS9oaFWaCu1YzWwiXBkdUN">#REF!</definedName>
    <definedName name="zsupermetrics_GyUODYVVUwewj3oQpSJE7xqTEX7Ggx">RawData!$B$30:$N$57</definedName>
    <definedName localSheetId="1" name="zsupermetrics_tMVCicIYB1ppWLy2ySJOGFz2GMKNHc">#REF!</definedName>
    <definedName localSheetId="1" name="zsupermetrics_BYTQxLVWfT2A6OvVZPFs4tQupdzuUi">#REF!</definedName>
    <definedName name="zsupermetrics_c4NjNoDdq03RshXx5S0zryl3nYdjKd">RawData!$AD$3:$AP$11</definedName>
    <definedName localSheetId="1" name="zsupermetrics_ugJOJpBBq7U9CWlxh8RGscHywuoJzT">#REF!</definedName>
    <definedName name="zsupermetrics_bxQwFAuIWtvgf3sCdYhidmLNNyxdLX">'Traffic Dashboard'!$C$36:$D$57</definedName>
    <definedName name="zsupermetrics_PWuqdiW5nwRjIguyJJVAlLhP1F9TJP">RawData!$B$4:$N$14</definedName>
    <definedName localSheetId="1" name="zsupermetrics_uVZdbjHhM3WmfLWpc4KOvqjIwxXjml">'Traffic Dashboard'!$C$35:$F$55</definedName>
    <definedName name="zsupermetrics_xFBn4wQ67lWGGd87jkHjtbcKh1Vahk">RawData!$Z$14:$AB$18</definedName>
    <definedName name="zsupermetrics_hssL662pqpyr3WMuJV0IMOiQoobsvd">RawData!$Z$3:$AB$10</definedName>
    <definedName name="zsupermetrics_forceRefresh">SupermetricsQueries!$H$4</definedName>
    <definedName name="zsupermetrics_VIMlNqyQl10xX5wjZOvkRuBTiXtVkX">RawData!$U$3:$X$57</definedName>
    <definedName name="zsupermetrics_9Or905dgXknIiqvzoJYDZrge5SfZDE">RawData!$B$4:$N$14</definedName>
    <definedName name="zsupermetrics_jGUP29KhNNfsgMBQBPNraVAN8EAcB3">RawData!$Q$3:$S$57</definedName>
    <definedName localSheetId="1" name="zsupermetrics_ToVzapbdmhXpbzsEU51d9kkMYdy3nb">'Traffic Dashboard'!$C$35:$F$55</definedName>
    <definedName name="zsupermetrics_nJ7FfLFQaYxxEBCZN2VrT9nejM2Y0M">RawData!$Z$3:$AB$10</definedName>
    <definedName name="zsupermetrics_YwCJzbBwg2YvC7a9kH3fWuyYiaiebA">RawData!$B$4:$N$14</definedName>
    <definedName name="zsupermetrics_7C8ru29Hayl31nx8WfVR4zkEM3vpNj">RawData!$B$30:$N$57</definedName>
    <definedName localSheetId="1" name="zsupermetrics_nIOFMsWoy7w76KI0QncltOGNRf602L">#REF!</definedName>
    <definedName localSheetId="1" name="zsupermetrics_x5fvWsD4aA8V70sf5XI5yNMW9Potso">#REF!</definedName>
    <definedName name="zsupermetrics_JhZ48HA7m8494CLO6pMDDsQQVUd8M7">RawData!$AD$3:$AP$11</definedName>
    <definedName name="zsupermetrics_OVvwGsyakToQ4EkI9GXwg0KqCP3SNN">RawData!$B$30:$N$57</definedName>
    <definedName name="zsupermetrics_refreshAll">SupermetricsQueries!$H$5</definedName>
    <definedName localSheetId="1" name="zsupermetrics_xGNTlt0hZmE6tblxXBR5GITtf2wIpq">#REF!</definedName>
    <definedName localSheetId="1" name="zsupermetrics_xhYP6OpJR7chPxEE9foAjTSo849s1x">#REF!</definedName>
    <definedName name="zsupermetrics_r5zSS2OaiNgxCLDtbvwSbMFTQAJygz">RawData!$Z$14:$AB$18</definedName>
    <definedName localSheetId="1" name="zsupermetrics_jXzwJ2FkNqapH6Df01mlX0Wdvtm2a8">#REF!</definedName>
    <definedName localSheetId="1" name="zsupermetrics_b7BrB4EzkxhjSNahg0ktVnW3SpENtX">#REF!</definedName>
    <definedName localSheetId="1" name="zsupermetrics_Td7iyBBkrmCnw5oIQTfCtLJMK0h1z7">#REF!</definedName>
    <definedName localSheetId="1" name="zsupermetrics_xr3gee86n6wWjE3Ot3Eh2EJkYv346Z">#REF!</definedName>
    <definedName name="zsupermetrics_27F5mFD7hgHHibPgu6smfn8IBFZvdR">RawData!$Q$3:$S$57</definedName>
    <definedName localSheetId="1" name="zsupermetrics_90qlCaDtCkCRYERzBc3osJeravbZGl">#REF!</definedName>
    <definedName name="zsupermetrics_FTPpqHGMfAUfRJsKyCk6CHkeDtO8Io">RawData!$Z$14:$AB$18</definedName>
    <definedName localSheetId="1" name="zsupermetrics_iV1GHOxweZKbQ31shvOFjBOpXrwG3Y">#REF!</definedName>
    <definedName name="zsupermetrics_UBfaHNwhz6LkJ1GQ9oSDZEX9mf4u1L">RawData!$B$3:$N$13</definedName>
    <definedName localSheetId="1" name="zsupermetrics_plaB7sMKmTbUmnBDhQwCxQwjeLDOMV">#REF!</definedName>
    <definedName localSheetId="1" name="zsupermetrics_miqB8uhX2nsetTOmIWetrArKiaKLZZ">#REF!</definedName>
    <definedName name="zsupermetrics_LrunxeTaH0N3v3BJLzcGE1jvDvtoPe">'Traffic Dashboard'!$C$36:$D$57</definedName>
    <definedName localSheetId="1" name="zsupermetrics_VEAYq2Vt46mdWhUhYRcf3qlpj8G6LG">#REF!</definedName>
  </definedNames>
  <calcPr/>
</workbook>
</file>

<file path=xl/sharedStrings.xml><?xml version="1.0" encoding="utf-8"?>
<sst xmlns="http://schemas.openxmlformats.org/spreadsheetml/2006/main" count="493" uniqueCount="224">
  <si>
    <t>Supermetrics Queries</t>
  </si>
  <si>
    <t>Cells in this color are raw data pulled via Supermetrics</t>
  </si>
  <si>
    <t>specialnewuserflow</t>
  </si>
  <si>
    <t>All the queries created by Supermetrics are stored here, each in its own row.</t>
  </si>
  <si>
    <t>Instructions</t>
  </si>
  <si>
    <t>Cells in this color are calculations</t>
  </si>
  <si>
    <t>On this sheet you can:</t>
  </si>
  <si>
    <t xml:space="preserve">This sheet helps pull in data directly from Google Analytics to create a report on the performance of paid traffic. It can be used with the Supermetrics Google Sheets add-on to pull in PPC, SEO, social media and web analytics data into Google Sheets for reporting, monitoring, and analysis. </t>
  </si>
  <si>
    <t>1. Modify the parameters of a query. Any changes will be visible when you run a refresh.</t>
  </si>
  <si>
    <t>Supermetrics Tip  ➜</t>
  </si>
  <si>
    <t>Top 20 Traffic Sources - Top landing page</t>
  </si>
  <si>
    <t>2. Remove a query by deleting its row</t>
  </si>
  <si>
    <t>We recommend you use a Google Analytics account which has paid traffic for at least the last 13 months. Otherwise, you will be missing data for year-over-year comparison and 12-month trend lines.</t>
  </si>
  <si>
    <t>Top 20 Traffic Sources - New Users % and Bounce Rate %</t>
  </si>
  <si>
    <t>Metrics</t>
  </si>
  <si>
    <t>3. Add new queries: type a range address and query parameters, leave the query ID empty. The query will be added when you run a refresh. (Of course, it's much easier to use the sidebar to add new queries.)</t>
  </si>
  <si>
    <t>Metrics  - Last 12 Months - For the Bar Charts</t>
  </si>
  <si>
    <t>User by Medium and Month Chart - Raw Data for the Calculated Metrics Chart below</t>
  </si>
  <si>
    <t>4. Add queries that point to other spreadsheets: follow step 3, but also add a spreadsheet ID (you can see the ID in the URL when you have a file open)</t>
  </si>
  <si>
    <t>Source</t>
  </si>
  <si>
    <t>Landing page path</t>
  </si>
  <si>
    <t>Entrances</t>
  </si>
  <si>
    <t>Users</t>
  </si>
  <si>
    <t>Bounce rate</t>
  </si>
  <si>
    <t>New sessions %</t>
  </si>
  <si>
    <t>Getting Started</t>
  </si>
  <si>
    <t/>
  </si>
  <si>
    <t>Query ID</t>
  </si>
  <si>
    <t>2016|10</t>
  </si>
  <si>
    <t>2016|11</t>
  </si>
  <si>
    <t>2016|12</t>
  </si>
  <si>
    <t>2017|01</t>
  </si>
  <si>
    <t>2017|02</t>
  </si>
  <si>
    <t>2017|03</t>
  </si>
  <si>
    <t>2017|04</t>
  </si>
  <si>
    <t>2017|05</t>
  </si>
  <si>
    <t>2017|06</t>
  </si>
  <si>
    <t>2017|07</t>
  </si>
  <si>
    <t>2017|08</t>
  </si>
  <si>
    <t>2017|09</t>
  </si>
  <si>
    <t>Spreadsheet ID</t>
  </si>
  <si>
    <t>Sheet name</t>
  </si>
  <si>
    <t>Medium</t>
  </si>
  <si>
    <t>Range address</t>
  </si>
  <si>
    <t>Option 1   If you see a welcome sidebar about Supermetrics</t>
  </si>
  <si>
    <t>Created</t>
  </si>
  <si>
    <t>Updated</t>
  </si>
  <si>
    <t>Last status</t>
  </si>
  <si>
    <t>Last refresh ID</t>
  </si>
  <si>
    <t>&gt; Click on the button in the welcome sidebar to install the Supermetrics Google Sheets add-on</t>
  </si>
  <si>
    <t>Results contain sampled data</t>
  </si>
  <si>
    <t>Object type</t>
  </si>
  <si>
    <t>Linked chart ID</t>
  </si>
  <si>
    <t>Data source</t>
  </si>
  <si>
    <t>Date range type</t>
  </si>
  <si>
    <t>Start date</t>
  </si>
  <si>
    <t>&gt; Follow instructions to connect to your Google Analytics account and apply the template</t>
  </si>
  <si>
    <t>google</t>
  </si>
  <si>
    <t>End date</t>
  </si>
  <si>
    <t>/blog/article2/</t>
  </si>
  <si>
    <t>Compare to</t>
  </si>
  <si>
    <t>Comparison value type</t>
  </si>
  <si>
    <t>Accounts/views</t>
  </si>
  <si>
    <t>Dimensions</t>
  </si>
  <si>
    <t>Pivot dimensions</t>
  </si>
  <si>
    <t>Filters</t>
  </si>
  <si>
    <t>Sessions</t>
  </si>
  <si>
    <t>Segment ID</t>
  </si>
  <si>
    <t>Sort</t>
  </si>
  <si>
    <t>Max rows</t>
  </si>
  <si>
    <t>Max pivot categories</t>
  </si>
  <si>
    <t>Option 2   If you do not see a welcome sidebar</t>
  </si>
  <si>
    <t>Special settings</t>
  </si>
  <si>
    <t>Other parameters</t>
  </si>
  <si>
    <t>Result type</t>
  </si>
  <si>
    <t>Language/country</t>
  </si>
  <si>
    <t>&gt; Copy the url of this sheet from the address bar</t>
  </si>
  <si>
    <t>Translate to</t>
  </si>
  <si>
    <t>SQL</t>
  </si>
  <si>
    <t>Database name</t>
  </si>
  <si>
    <t>Range address (static)</t>
  </si>
  <si>
    <t>Report type</t>
  </si>
  <si>
    <t>Scope (Moz)</t>
  </si>
  <si>
    <t>organic</t>
  </si>
  <si>
    <t>Sort (Moz)</t>
  </si>
  <si>
    <t>&gt; Install the Supermetrics add-on with the link below (skip this if you've installed the add-on)</t>
  </si>
  <si>
    <t>Highlight with colour</t>
  </si>
  <si>
    <t>Refresh with user account</t>
  </si>
  <si>
    <t>paramsID</t>
  </si>
  <si>
    <t>&gt; Launch the Supermetrics sidebar (Add-ons menu -&gt; Supermetrics -&gt; Launch sidebar)</t>
  </si>
  <si>
    <t>ssID</t>
  </si>
  <si>
    <t>sheetName</t>
  </si>
  <si>
    <t>rangeAddress</t>
  </si>
  <si>
    <t>created</t>
  </si>
  <si>
    <t>updated</t>
  </si>
  <si>
    <t>lastStatus</t>
  </si>
  <si>
    <t>lastqueryID</t>
  </si>
  <si>
    <t>&gt; Go to Add-ons menu -&gt; Supermetrics -&gt; Template Gallery, scroll down to the bottom and select Custom Template</t>
  </si>
  <si>
    <t>sampled</t>
  </si>
  <si>
    <t>objType</t>
  </si>
  <si>
    <t>linkedChartID</t>
  </si>
  <si>
    <t>dataSource</t>
  </si>
  <si>
    <t>dateRangeType</t>
  </si>
  <si>
    <t>startDateString</t>
  </si>
  <si>
    <t>&gt; Paste the URL you just copied, and click on Add Template</t>
  </si>
  <si>
    <t>endDateString</t>
  </si>
  <si>
    <t>comp</t>
  </si>
  <si>
    <t>cvt</t>
  </si>
  <si>
    <t>profiles</t>
  </si>
  <si>
    <t>metrics</t>
  </si>
  <si>
    <t>dimensions</t>
  </si>
  <si>
    <t>&gt; Authorize Supermetrics to access your Google Analytics accounts, select the view you want to report on, and click on Insert Template</t>
  </si>
  <si>
    <t>sd</t>
  </si>
  <si>
    <t>filterArr</t>
  </si>
  <si>
    <t>segment</t>
  </si>
  <si>
    <t>sort</t>
  </si>
  <si>
    <t>maxResults</t>
  </si>
  <si>
    <t>maxCategories</t>
  </si>
  <si>
    <t>specialSettings</t>
  </si>
  <si>
    <t>otherParams</t>
  </si>
  <si>
    <t>sds_result_type</t>
  </si>
  <si>
    <t>sds_lang</t>
  </si>
  <si>
    <t>sds_tolang</t>
  </si>
  <si>
    <t>sql</t>
  </si>
  <si>
    <t>db_name</t>
  </si>
  <si>
    <t>rangeAddressStatic</t>
  </si>
  <si>
    <t>rt</t>
  </si>
  <si>
    <t>scopeMZ</t>
  </si>
  <si>
    <t>sortMZ</t>
  </si>
  <si>
    <t>condform</t>
  </si>
  <si>
    <t>authUser</t>
  </si>
  <si>
    <t>(direct)</t>
  </si>
  <si>
    <t>Option 3   If you wish to use this template without the Supermetrics add-on</t>
  </si>
  <si>
    <t>(none)</t>
  </si>
  <si>
    <t>&gt; Manually copy / paste data from Google Analytics into the blue cells in the "RawData" tab.</t>
  </si>
  <si>
    <t>/blog/article1/</t>
  </si>
  <si>
    <t>facebook</t>
  </si>
  <si>
    <t>cpc</t>
  </si>
  <si>
    <t>Created successfully</t>
  </si>
  <si>
    <t>TABLE</t>
  </si>
  <si>
    <t>adwords</t>
  </si>
  <si>
    <t>GA</t>
  </si>
  <si>
    <t>last12months</t>
  </si>
  <si>
    <t>Pageviews</t>
  </si>
  <si>
    <t>["visitors"]</t>
  </si>
  <si>
    <t>["Medium"]</t>
  </si>
  <si>
    <t>["Yearmonth"]</t>
  </si>
  <si>
    <t>[]</t>
  </si>
  <si>
    <t>referral</t>
  </si>
  <si>
    <t>{}</t>
  </si>
  <si>
    <t>RawData'!B4:N14</t>
  </si>
  <si>
    <t>Avg. session length (min)</t>
  </si>
  <si>
    <t>social</t>
  </si>
  <si>
    <t>Transactions</t>
  </si>
  <si>
    <t>lastmonth</t>
  </si>
  <si>
    <t>paid</t>
  </si>
  <si>
    <t>["entrances"]</t>
  </si>
  <si>
    <t>["Source","LandingPagePath"]</t>
  </si>
  <si>
    <t>RawData'!Q3:S3978</t>
  </si>
  <si>
    <t>/blog/article3/</t>
  </si>
  <si>
    <t>facebook.com</t>
  </si>
  <si>
    <t>Transaction revenue</t>
  </si>
  <si>
    <t>last1months</t>
  </si>
  <si>
    <t>["visitors","entrancebouncerate_perc","percentnewvisits_perc"]</t>
  </si>
  <si>
    <t>["Source"]</t>
  </si>
  <si>
    <t>email</t>
  </si>
  <si>
    <t>RawData'!U3:X310</t>
  </si>
  <si>
    <t>/blog/article6/</t>
  </si>
  <si>
    <t>linkedin.com</t>
  </si>
  <si>
    <t>prev</t>
  </si>
  <si>
    <t>perc</t>
  </si>
  <si>
    <t>["visitors","visits","entrancebouncerate_perc","percentnewvisits_perc","pageviews","avgtimeonsite_minutes","transactions","transactionrevenue"]</t>
  </si>
  <si>
    <t>["METRICS_IN_ROWS"]</t>
  </si>
  <si>
    <t>RawData'!Z3:AB10</t>
  </si>
  <si>
    <t>(not set)</t>
  </si>
  <si>
    <t>/blog/article7/</t>
  </si>
  <si>
    <t>twitter</t>
  </si>
  <si>
    <t>["segmentname"]</t>
  </si>
  <si>
    <t>["-13`Tablet Traffic","-14`Mobile Traffic","-102`Converters","-104`Made a Purchase"]</t>
  </si>
  <si>
    <t>RawData'!Z14:AB18</t>
  </si>
  <si>
    <t>/blog/article8/</t>
  </si>
  <si>
    <t>t.co</t>
  </si>
  <si>
    <t>Segments</t>
  </si>
  <si>
    <t>Segments - Last 12 Months - For the Bar Charts</t>
  </si>
  <si>
    <t>feed</t>
  </si>
  <si>
    <t>/blog/article9/</t>
  </si>
  <si>
    <t>bing</t>
  </si>
  <si>
    <t>RawData'!AD3:AP11</t>
  </si>
  <si>
    <t>Segment</t>
  </si>
  <si>
    <t>Change %</t>
  </si>
  <si>
    <t>Converters</t>
  </si>
  <si>
    <t>User by Medium and Month Chart</t>
  </si>
  <si>
    <t>RawData'!AD14:AP18</t>
  </si>
  <si>
    <t>Mobile Traffic</t>
  </si>
  <si>
    <t>/blog/article4/</t>
  </si>
  <si>
    <t>RawData'!B30:N130</t>
  </si>
  <si>
    <t>quora.com</t>
  </si>
  <si>
    <t>Made a Purchase</t>
  </si>
  <si>
    <t>["NO_HEADERS"]</t>
  </si>
  <si>
    <t>Traffic'!B21:D435</t>
  </si>
  <si>
    <t>twitter.com</t>
  </si>
  <si>
    <t>Tablet Traffic</t>
  </si>
  <si>
    <t>plus.google.com</t>
  </si>
  <si>
    <t>moz.com</t>
  </si>
  <si>
    <t>youtube.com</t>
  </si>
  <si>
    <t>Top 20 Traffic Sources - Last 12 Months - For the Bar Charts</t>
  </si>
  <si>
    <t>medium.com</t>
  </si>
  <si>
    <t>reddit.com</t>
  </si>
  <si>
    <t>flipboard.com</t>
  </si>
  <si>
    <t>linkedin</t>
  </si>
  <si>
    <t>See instructions on the last tab</t>
  </si>
  <si>
    <t>Website Traffic Dashboard</t>
  </si>
  <si>
    <t>Purpose</t>
  </si>
  <si>
    <t xml:space="preserve">This dashboard will provide you an overview of your key metrics in Google Analytics and will help you get more insight into your best performing traffic sources. </t>
  </si>
  <si>
    <t>12 month trend</t>
  </si>
  <si>
    <t>Avg. session length</t>
  </si>
  <si>
    <t>Mobile traffic</t>
  </si>
  <si>
    <t>Made a purchase</t>
  </si>
  <si>
    <t>Tablet traffic</t>
  </si>
  <si>
    <t>Top 20 Traffic Sources</t>
  </si>
  <si>
    <t>Ranking</t>
  </si>
  <si>
    <t>Top landing page</t>
  </si>
  <si>
    <t>New users %</t>
  </si>
  <si>
    <t>Bounce rate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</si>
</sst>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#,##0.00\ [$€-1]"/>
    <numFmt numFmtId="166" formatCode="General"/>
    <numFmt numFmtId="167" formatCode="#,##0.0"/>
  </numFmts>
  <fonts count="55">
    <font>
      <sz val="10.0"/>
      <color rgb="FF000000"/>
      <name val="Arial"/>
    </font>
    <font>
      <name val="Roboto"/>
    </font>
    <font>
      <sz val="12.0"/>
      <color rgb="FFFFFFFF"/>
      <name val="Roboto"/>
    </font>
    <font>
      <b/>
      <sz val="20.0"/>
    </font>
    <font>
      <b/>
      <name val="Roboto"/>
    </font>
    <font>
      <sz val="38.0"/>
      <color rgb="FFFFFFFF"/>
      <name val="Roboto"/>
    </font>
    <font>
      <color rgb="FFFFFFFF"/>
    </font>
    <font>
      <sz val="12.0"/>
      <color rgb="FFFFFFFF"/>
    </font>
    <font/>
    <font>
      <sz val="32.0"/>
      <color rgb="FFFFFFFF"/>
      <name val="Roboto"/>
    </font>
    <font>
      <b/>
      <sz val="20.0"/>
      <color rgb="FFFFFFFF"/>
      <name val="Roboto"/>
    </font>
    <font>
      <color rgb="FFEEEEEE"/>
    </font>
    <font>
      <sz val="20.0"/>
      <color rgb="FFFFFFFF"/>
      <name val="Roboto"/>
    </font>
    <font>
      <sz val="20.0"/>
      <color rgb="FFFFFFFF"/>
    </font>
    <font>
      <sz val="12.0"/>
      <color rgb="FF434343"/>
      <name val="Roboto"/>
    </font>
    <font>
      <sz val="20.0"/>
      <color rgb="FF434343"/>
      <name val="Roboto"/>
    </font>
    <font>
      <sz val="12.0"/>
      <color rgb="FF434343"/>
    </font>
    <font>
      <sz val="11.0"/>
      <color rgb="FF434343"/>
      <name val="Roboto"/>
    </font>
    <font>
      <b/>
      <sz val="14.0"/>
      <color rgb="FFE30613"/>
      <name val="Roboto"/>
    </font>
    <font>
      <sz val="14.0"/>
      <color rgb="FFE30613"/>
    </font>
    <font>
      <sz val="14.0"/>
      <color rgb="FF434343"/>
    </font>
    <font>
      <sz val="14.0"/>
      <color rgb="FF434343"/>
      <name val="Roboto"/>
    </font>
    <font>
      <sz val="11.0"/>
      <color rgb="FF434343"/>
    </font>
    <font>
      <color rgb="FF000000"/>
      <name val="Roboto"/>
    </font>
    <font>
      <b/>
      <sz val="11.0"/>
      <color rgb="FF434343"/>
      <name val="Roboto"/>
    </font>
    <font>
      <color rgb="FFEA9999"/>
      <name val="Roboto"/>
    </font>
    <font>
      <b/>
      <sz val="14.0"/>
      <color rgb="FF434343"/>
      <name val="Roboto"/>
    </font>
    <font>
      <b/>
    </font>
    <font>
      <sz val="11.0"/>
      <color rgb="FF999999"/>
      <name val="Roboto"/>
    </font>
    <font>
      <b/>
      <sz val="11.0"/>
      <color rgb="FF999999"/>
      <name val="Roboto"/>
    </font>
    <font>
      <b/>
      <sz val="11.0"/>
      <color rgb="FF990000"/>
      <name val="Roboto"/>
    </font>
    <font>
      <color rgb="FF000000"/>
    </font>
    <font>
      <u/>
      <sz val="11.0"/>
      <color rgb="FF990000"/>
      <name val="Roboto"/>
    </font>
    <font>
      <color rgb="FF008000"/>
    </font>
    <font>
      <u/>
      <color rgb="FF0000FF"/>
      <name val="Roboto"/>
    </font>
    <font>
      <u/>
      <color rgb="FF000000"/>
      <name val="Roboto"/>
    </font>
    <font>
      <sz val="11.0"/>
      <color rgb="FF000000"/>
      <name val="Roboto"/>
    </font>
    <font>
      <b/>
      <sz val="11.0"/>
      <color rgb="FFFFFFFF"/>
      <name val="Roboto"/>
    </font>
    <font>
      <u/>
      <sz val="11.0"/>
      <color rgb="FFFFFFFF"/>
      <name val="Roboto"/>
    </font>
    <font>
      <b/>
      <sz val="24.0"/>
      <color rgb="FF000000"/>
      <name val="Roboto"/>
    </font>
    <font>
      <b/>
      <sz val="42.0"/>
      <color rgb="FFE30613"/>
      <name val="Roboto Condensed"/>
    </font>
    <font>
      <sz val="12.0"/>
      <color rgb="FF000000"/>
      <name val="Roboto"/>
    </font>
    <font>
      <sz val="12.0"/>
      <color rgb="FFE30613"/>
      <name val="Roboto"/>
    </font>
    <font>
      <sz val="12.0"/>
      <name val="Arial"/>
    </font>
    <font>
      <b/>
      <sz val="14.0"/>
      <color rgb="FF000000"/>
      <name val="Roboto"/>
    </font>
    <font>
      <name val="Arial"/>
    </font>
    <font>
      <b/>
      <sz val="11.0"/>
      <name val="Roboto"/>
    </font>
    <font>
      <b/>
      <sz val="12.0"/>
      <color rgb="FF000000"/>
      <name val="Roboto"/>
    </font>
    <font>
      <b/>
      <sz val="11.0"/>
      <color rgb="FF000000"/>
      <name val="Roboto"/>
    </font>
    <font>
      <b/>
      <color rgb="FF000000"/>
      <name val="Roboto"/>
    </font>
    <font>
      <sz val="11.0"/>
      <color rgb="FFCCCCCC"/>
      <name val="Roboto"/>
    </font>
    <font>
      <sz val="11.0"/>
      <name val="Roboto"/>
    </font>
    <font>
      <b/>
      <sz val="18.0"/>
      <color rgb="FF000000"/>
      <name val="Roboto"/>
    </font>
    <font>
      <u/>
      <sz val="11.0"/>
      <color rgb="FF000000"/>
      <name val="Roboto"/>
    </font>
    <font>
      <b/>
      <sz val="8.0"/>
      <color rgb="FF000000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E30613"/>
        <bgColor rgb="FFE30613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1">
    <border/>
    <border>
      <left style="thin">
        <color rgb="FF9FC5E8"/>
      </left>
      <right/>
      <top style="thin">
        <color rgb="FF9FC5E8"/>
      </top>
      <bottom style="thin">
        <color rgb="FF9FC5E8"/>
      </bottom>
    </border>
    <border>
      <right/>
      <top style="thin">
        <color rgb="FF9FC5E8"/>
      </top>
      <bottom style="thin">
        <color rgb="FF9FC5E8"/>
      </bottom>
    </border>
    <border>
      <right style="thin">
        <color rgb="FF9FC5E8"/>
      </right>
      <top style="thin">
        <color rgb="FF9FC5E8"/>
      </top>
      <bottom style="thin">
        <color rgb="FF9FC5E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FF0000"/>
      </bottom>
    </border>
    <border>
      <right/>
      <top style="thin">
        <color rgb="FFE30613"/>
      </top>
    </border>
    <border>
      <top style="thin">
        <color rgb="FFE30613"/>
      </top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thin">
        <color rgb="FFB7B7B7"/>
      </bottom>
    </border>
    <border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bottom style="thin">
        <color rgb="FFD9D9D9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readingOrder="0"/>
    </xf>
    <xf borderId="1" fillId="3" fontId="4" numFmtId="0" xfId="0" applyAlignment="1" applyBorder="1" applyFill="1" applyFont="1">
      <alignment shrinkToFit="0" vertical="center" wrapText="0"/>
    </xf>
    <xf borderId="0" fillId="2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/>
    </xf>
    <xf borderId="2" fillId="3" fontId="1" numFmtId="0" xfId="0" applyBorder="1" applyFont="1"/>
    <xf borderId="0" fillId="2" fontId="7" numFmtId="0" xfId="0" applyAlignment="1" applyFont="1">
      <alignment shrinkToFit="0" wrapText="0"/>
    </xf>
    <xf borderId="3" fillId="3" fontId="1" numFmtId="0" xfId="0" applyBorder="1" applyFont="1"/>
    <xf borderId="0" fillId="0" fontId="8" numFmtId="0" xfId="0" applyAlignment="1" applyFont="1">
      <alignment readingOrder="0" vertical="top"/>
    </xf>
    <xf borderId="0" fillId="2" fontId="9" numFmtId="0" xfId="0" applyAlignment="1" applyFont="1">
      <alignment horizontal="left" readingOrder="0" shrinkToFit="0" vertical="center" wrapText="0"/>
    </xf>
    <xf borderId="4" fillId="4" fontId="4" numFmtId="0" xfId="0" applyAlignment="1" applyBorder="1" applyFill="1" applyFont="1">
      <alignment shrinkToFit="0" vertical="center" wrapText="0"/>
    </xf>
    <xf borderId="0" fillId="5" fontId="10" numFmtId="0" xfId="0" applyAlignment="1" applyFill="1" applyFont="1">
      <alignment readingOrder="0" shrinkToFit="0" wrapText="0"/>
    </xf>
    <xf borderId="5" fillId="4" fontId="1" numFmtId="0" xfId="0" applyBorder="1" applyFont="1"/>
    <xf borderId="0" fillId="0" fontId="11" numFmtId="0" xfId="0" applyAlignment="1" applyFont="1">
      <alignment readingOrder="0"/>
    </xf>
    <xf borderId="0" fillId="5" fontId="12" numFmtId="0" xfId="0" applyAlignment="1" applyFont="1">
      <alignment shrinkToFit="0" wrapText="0"/>
    </xf>
    <xf borderId="6" fillId="4" fontId="1" numFmtId="0" xfId="0" applyBorder="1" applyFont="1"/>
    <xf borderId="0" fillId="5" fontId="13" numFmtId="0" xfId="0" applyAlignment="1" applyFont="1">
      <alignment shrinkToFit="0" wrapText="0"/>
    </xf>
    <xf borderId="0" fillId="0" fontId="8" numFmtId="0" xfId="0" applyAlignment="1" applyFont="1">
      <alignment readingOrder="0"/>
    </xf>
    <xf borderId="0" fillId="6" fontId="14" numFmtId="0" xfId="0" applyAlignment="1" applyFill="1" applyFont="1">
      <alignment readingOrder="0" shrinkToFit="0" wrapText="0"/>
    </xf>
    <xf borderId="0" fillId="0" fontId="11" numFmtId="0" xfId="0" applyFont="1"/>
    <xf borderId="0" fillId="6" fontId="15" numFmtId="0" xfId="0" applyAlignment="1" applyFont="1">
      <alignment readingOrder="0" shrinkToFit="0" vertical="center" wrapText="1"/>
    </xf>
    <xf borderId="0" fillId="6" fontId="16" numFmtId="0" xfId="0" applyAlignment="1" applyFont="1">
      <alignment shrinkToFit="0" wrapText="0"/>
    </xf>
    <xf borderId="0" fillId="6" fontId="17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vertical="top" wrapText="1"/>
    </xf>
    <xf borderId="0" fillId="6" fontId="18" numFmtId="0" xfId="0" applyAlignment="1" applyFont="1">
      <alignment readingOrder="0" shrinkToFit="0" wrapText="0"/>
    </xf>
    <xf borderId="0" fillId="6" fontId="19" numFmtId="0" xfId="0" applyFont="1"/>
    <xf borderId="0" fillId="6" fontId="20" numFmtId="0" xfId="0" applyFont="1"/>
    <xf borderId="0" fillId="6" fontId="21" numFmtId="0" xfId="0" applyAlignment="1" applyFont="1">
      <alignment shrinkToFit="0" wrapText="0"/>
    </xf>
    <xf borderId="0" fillId="6" fontId="20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6" fontId="22" numFmtId="0" xfId="0" applyAlignment="1" applyFont="1">
      <alignment shrinkToFit="0" wrapText="0"/>
    </xf>
    <xf borderId="0" fillId="6" fontId="17" numFmtId="0" xfId="0" applyAlignment="1" applyFont="1">
      <alignment shrinkToFit="0" wrapText="0"/>
    </xf>
    <xf borderId="0" fillId="6" fontId="21" numFmtId="0" xfId="0" applyAlignment="1" applyFont="1">
      <alignment horizontal="left" readingOrder="0" shrinkToFit="0" vertical="bottom" wrapText="1"/>
    </xf>
    <xf borderId="0" fillId="7" fontId="1" numFmtId="0" xfId="0" applyAlignment="1" applyFill="1" applyFont="1">
      <alignment readingOrder="0"/>
    </xf>
    <xf borderId="0" fillId="6" fontId="22" numFmtId="0" xfId="0" applyAlignment="1" applyFont="1">
      <alignment shrinkToFit="0" vertical="bottom" wrapText="1"/>
    </xf>
    <xf borderId="0" fillId="7" fontId="1" numFmtId="0" xfId="0" applyFont="1"/>
    <xf borderId="0" fillId="7" fontId="23" numFmtId="0" xfId="0" applyAlignment="1" applyFont="1">
      <alignment readingOrder="0"/>
    </xf>
    <xf borderId="0" fillId="6" fontId="24" numFmtId="0" xfId="0" applyAlignment="1" applyFont="1">
      <alignment readingOrder="0" shrinkToFit="0" wrapText="0"/>
    </xf>
    <xf borderId="0" fillId="7" fontId="25" numFmtId="0" xfId="0" applyFont="1"/>
    <xf borderId="0" fillId="6" fontId="24" numFmtId="0" xfId="0" applyAlignment="1" applyFont="1">
      <alignment readingOrder="0" shrinkToFit="0" vertical="bottom" wrapText="1"/>
    </xf>
    <xf borderId="0" fillId="6" fontId="17" numFmtId="0" xfId="0" applyAlignment="1" applyFont="1">
      <alignment shrinkToFit="0" vertical="bottom" wrapText="1"/>
    </xf>
    <xf borderId="0" fillId="3" fontId="23" numFmtId="0" xfId="0" applyAlignment="1" applyFont="1">
      <alignment readingOrder="0"/>
    </xf>
    <xf borderId="0" fillId="8" fontId="24" numFmtId="0" xfId="0" applyAlignment="1" applyFill="1" applyFont="1">
      <alignment readingOrder="0" shrinkToFit="0" wrapText="0"/>
    </xf>
    <xf borderId="0" fillId="3" fontId="1" numFmtId="0" xfId="0" applyAlignment="1" applyFont="1">
      <alignment readingOrder="0"/>
    </xf>
    <xf borderId="0" fillId="8" fontId="17" numFmtId="0" xfId="0" applyAlignment="1" applyFont="1">
      <alignment shrinkToFit="0" wrapText="0"/>
    </xf>
    <xf borderId="0" fillId="8" fontId="22" numFmtId="0" xfId="0" applyAlignment="1" applyFont="1">
      <alignment shrinkToFit="0" wrapText="0"/>
    </xf>
    <xf borderId="0" fillId="3" fontId="23" numFmtId="0" xfId="0" applyAlignment="1" applyFont="1">
      <alignment readingOrder="0"/>
    </xf>
    <xf borderId="0" fillId="8" fontId="26" numFmtId="0" xfId="0" applyAlignment="1" applyFont="1">
      <alignment readingOrder="0" shrinkToFit="0" wrapText="0"/>
    </xf>
    <xf borderId="0" fillId="8" fontId="18" numFmtId="0" xfId="0" applyAlignment="1" applyFont="1">
      <alignment readingOrder="0" shrinkToFit="0" wrapText="0"/>
    </xf>
    <xf quotePrefix="1" borderId="0" fillId="3" fontId="23" numFmtId="0" xfId="0" applyAlignment="1" applyFont="1">
      <alignment readingOrder="0"/>
    </xf>
    <xf borderId="0" fillId="8" fontId="21" numFmtId="0" xfId="0" applyAlignment="1" applyFont="1">
      <alignment horizontal="left" shrinkToFit="0" vertical="center" wrapText="0"/>
    </xf>
    <xf borderId="0" fillId="9" fontId="27" numFmtId="0" xfId="0" applyAlignment="1" applyFill="1" applyFont="1">
      <alignment readingOrder="0"/>
    </xf>
    <xf borderId="0" fillId="8" fontId="21" numFmtId="0" xfId="0" applyAlignment="1" applyFont="1">
      <alignment shrinkToFit="0" wrapText="0"/>
    </xf>
    <xf borderId="0" fillId="9" fontId="27" numFmtId="0" xfId="0" applyFont="1"/>
    <xf borderId="0" fillId="8" fontId="20" numFmtId="0" xfId="0" applyAlignment="1" applyFont="1">
      <alignment shrinkToFit="0" wrapText="0"/>
    </xf>
    <xf borderId="0" fillId="8" fontId="17" numFmtId="0" xfId="0" applyAlignment="1" applyFont="1">
      <alignment readingOrder="0" shrinkToFit="0" wrapText="0"/>
    </xf>
    <xf borderId="0" fillId="8" fontId="24" numFmtId="0" xfId="0" applyAlignment="1" applyFont="1">
      <alignment horizontal="left" readingOrder="0" shrinkToFit="0" vertical="center" wrapText="0"/>
    </xf>
    <xf borderId="0" fillId="8" fontId="28" numFmtId="0" xfId="0" applyAlignment="1" applyFont="1">
      <alignment horizontal="left" readingOrder="0" shrinkToFit="0" vertical="center" wrapText="0"/>
    </xf>
    <xf borderId="0" fillId="8" fontId="28" numFmtId="0" xfId="0" applyAlignment="1" applyFont="1">
      <alignment horizontal="left" readingOrder="0"/>
    </xf>
    <xf borderId="0" fillId="8" fontId="17" numFmtId="0" xfId="0" applyAlignment="1" applyFont="1">
      <alignment horizontal="left" shrinkToFit="0" vertical="center" wrapText="0"/>
    </xf>
    <xf borderId="0" fillId="3" fontId="1" numFmtId="0" xfId="0" applyAlignment="1" applyFont="1">
      <alignment readingOrder="0"/>
    </xf>
    <xf borderId="0" fillId="8" fontId="28" numFmtId="0" xfId="0" applyAlignment="1" applyFont="1">
      <alignment readingOrder="0" shrinkToFit="0" wrapText="0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8" fontId="28" numFmtId="0" xfId="0" applyAlignment="1" applyFont="1">
      <alignment shrinkToFit="0" wrapText="0"/>
    </xf>
    <xf borderId="0" fillId="8" fontId="29" numFmtId="0" xfId="0" applyAlignment="1" applyFont="1">
      <alignment readingOrder="0" shrinkToFit="0" wrapText="0"/>
    </xf>
    <xf borderId="0" fillId="8" fontId="28" numFmtId="0" xfId="0" applyAlignment="1" applyFont="1">
      <alignment readingOrder="0"/>
    </xf>
    <xf borderId="0" fillId="8" fontId="30" numFmtId="0" xfId="0" applyAlignment="1" applyFont="1">
      <alignment readingOrder="0" shrinkToFit="0" wrapText="0"/>
    </xf>
    <xf borderId="0" fillId="0" fontId="31" numFmtId="0" xfId="0" applyAlignment="1" applyFont="1">
      <alignment readingOrder="0"/>
    </xf>
    <xf borderId="0" fillId="0" fontId="31" numFmtId="0" xfId="0" applyFont="1"/>
    <xf borderId="0" fillId="4" fontId="23" numFmtId="0" xfId="0" applyAlignment="1" applyFont="1">
      <alignment readingOrder="0"/>
    </xf>
    <xf borderId="0" fillId="8" fontId="32" numFmtId="0" xfId="0" applyAlignment="1" applyFont="1">
      <alignment horizontal="left" readingOrder="0" shrinkToFit="0" vertical="center" wrapText="0"/>
    </xf>
    <xf borderId="0" fillId="8" fontId="17" numFmtId="0" xfId="0" applyAlignment="1" applyFont="1">
      <alignment horizontal="left" readingOrder="0" shrinkToFit="0" vertical="center" wrapText="0"/>
    </xf>
    <xf borderId="0" fillId="8" fontId="17" numFmtId="0" xfId="0" applyAlignment="1" applyFont="1">
      <alignment readingOrder="0" shrinkToFit="0" wrapText="0"/>
    </xf>
    <xf borderId="0" fillId="8" fontId="28" numFmtId="0" xfId="0" applyAlignment="1" applyFont="1">
      <alignment horizontal="left" readingOrder="0" shrinkToFit="0" vertical="center" wrapText="0"/>
    </xf>
    <xf borderId="0" fillId="8" fontId="16" numFmtId="0" xfId="0" applyAlignment="1" applyFont="1">
      <alignment shrinkToFit="0" wrapText="0"/>
    </xf>
    <xf borderId="0" fillId="0" fontId="31" numFmtId="164" xfId="0" applyAlignment="1" applyFont="1" applyNumberFormat="1">
      <alignment readingOrder="0"/>
    </xf>
    <xf borderId="0" fillId="0" fontId="33" numFmtId="0" xfId="0" applyAlignment="1" applyFont="1">
      <alignment readingOrder="0"/>
    </xf>
    <xf borderId="0" fillId="0" fontId="31" numFmtId="0" xfId="0" applyAlignment="1" applyFont="1">
      <alignment readingOrder="0"/>
    </xf>
    <xf quotePrefix="1" borderId="0" fillId="0" fontId="31" numFmtId="0" xfId="0" applyAlignment="1" applyFont="1">
      <alignment readingOrder="0"/>
    </xf>
    <xf borderId="0" fillId="3" fontId="34" numFmtId="0" xfId="0" applyAlignment="1" applyFont="1">
      <alignment readingOrder="0"/>
    </xf>
    <xf borderId="0" fillId="3" fontId="23" numFmtId="0" xfId="0" applyFont="1"/>
    <xf borderId="0" fillId="7" fontId="23" numFmtId="0" xfId="0" applyFont="1"/>
    <xf borderId="0" fillId="3" fontId="1" numFmtId="0" xfId="0" applyFont="1"/>
    <xf quotePrefix="1" borderId="0" fillId="3" fontId="1" numFmtId="0" xfId="0" applyAlignment="1" applyFont="1">
      <alignment readingOrder="0"/>
    </xf>
    <xf borderId="0" fillId="3" fontId="35" numFmtId="0" xfId="0" applyAlignment="1" applyFont="1">
      <alignment readingOrder="0"/>
    </xf>
    <xf borderId="0" fillId="4" fontId="1" numFmtId="0" xfId="0" applyFont="1"/>
    <xf borderId="0" fillId="4" fontId="36" numFmtId="0" xfId="0" applyFont="1"/>
    <xf borderId="0" fillId="8" fontId="36" numFmtId="0" xfId="0" applyFont="1"/>
    <xf borderId="0" fillId="0" fontId="23" numFmtId="0" xfId="0" applyAlignment="1" applyFont="1">
      <alignment readingOrder="0"/>
    </xf>
    <xf borderId="0" fillId="0" fontId="23" numFmtId="0" xfId="0" applyAlignment="1" applyFont="1">
      <alignment readingOrder="0"/>
    </xf>
    <xf borderId="7" fillId="2" fontId="1" numFmtId="0" xfId="0" applyAlignment="1" applyBorder="1" applyFont="1">
      <alignment vertical="center"/>
    </xf>
    <xf borderId="7" fillId="2" fontId="37" numFmtId="0" xfId="0" applyAlignment="1" applyBorder="1" applyFont="1">
      <alignment shrinkToFit="0" vertical="center" wrapText="0"/>
    </xf>
    <xf borderId="7" fillId="2" fontId="38" numFmtId="0" xfId="0" applyAlignment="1" applyBorder="1" applyFont="1">
      <alignment readingOrder="0" vertical="center"/>
    </xf>
    <xf borderId="7" fillId="2" fontId="1" numFmtId="165" xfId="0" applyAlignment="1" applyBorder="1" applyFont="1" applyNumberFormat="1">
      <alignment vertical="center"/>
    </xf>
    <xf borderId="0" fillId="2" fontId="1" numFmtId="165" xfId="0" applyAlignment="1" applyFont="1" applyNumberFormat="1">
      <alignment vertical="center"/>
    </xf>
    <xf borderId="0" fillId="8" fontId="39" numFmtId="0" xfId="0" applyAlignment="1" applyFont="1">
      <alignment horizontal="left" vertical="center"/>
    </xf>
    <xf borderId="7" fillId="0" fontId="40" numFmtId="0" xfId="0" applyAlignment="1" applyBorder="1" applyFont="1">
      <alignment readingOrder="0" vertical="center"/>
    </xf>
    <xf borderId="7" fillId="8" fontId="23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7" fillId="0" fontId="1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0" fillId="8" fontId="41" numFmtId="0" xfId="0" applyAlignment="1" applyFont="1">
      <alignment vertical="center"/>
    </xf>
    <xf borderId="8" fillId="6" fontId="42" numFmtId="0" xfId="0" applyAlignment="1" applyBorder="1" applyFont="1">
      <alignment readingOrder="0" shrinkToFit="0" vertical="center" wrapText="0"/>
    </xf>
    <xf borderId="9" fillId="6" fontId="43" numFmtId="0" xfId="0" applyAlignment="1" applyBorder="1" applyFont="1">
      <alignment vertical="center"/>
    </xf>
    <xf borderId="9" fillId="6" fontId="42" numFmtId="0" xfId="0" applyAlignment="1" applyBorder="1" applyFont="1">
      <alignment vertical="center"/>
    </xf>
    <xf borderId="9" fillId="6" fontId="43" numFmtId="0" xfId="0" applyAlignment="1" applyBorder="1" applyFont="1">
      <alignment vertical="center"/>
    </xf>
    <xf borderId="0" fillId="0" fontId="43" numFmtId="0" xfId="0" applyAlignment="1" applyFont="1">
      <alignment vertical="center"/>
    </xf>
    <xf borderId="0" fillId="8" fontId="23" numFmtId="0" xfId="0" applyAlignment="1" applyFont="1">
      <alignment vertical="center"/>
    </xf>
    <xf borderId="0" fillId="8" fontId="44" numFmtId="0" xfId="0" applyAlignment="1" applyFont="1">
      <alignment horizontal="left" readingOrder="0" shrinkToFit="0" vertical="center" wrapText="1"/>
    </xf>
    <xf borderId="0" fillId="0" fontId="45" numFmtId="0" xfId="0" applyAlignment="1" applyFont="1">
      <alignment vertical="center"/>
    </xf>
    <xf borderId="0" fillId="0" fontId="45" numFmtId="0" xfId="0" applyAlignment="1" applyFont="1">
      <alignment vertical="center"/>
    </xf>
    <xf borderId="0" fillId="0" fontId="46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0"/>
    </xf>
    <xf borderId="0" fillId="0" fontId="8" numFmtId="0" xfId="0" applyAlignment="1" applyFont="1">
      <alignment vertical="center"/>
    </xf>
    <xf borderId="0" fillId="0" fontId="44" numFmtId="0" xfId="0" applyAlignment="1" applyFont="1">
      <alignment horizontal="center" readingOrder="0" vertical="center"/>
    </xf>
    <xf borderId="0" fillId="0" fontId="23" numFmtId="0" xfId="0" applyAlignment="1" applyFont="1">
      <alignment vertical="center"/>
    </xf>
    <xf borderId="0" fillId="0" fontId="42" numFmtId="0" xfId="0" applyAlignment="1" applyFont="1">
      <alignment shrinkToFit="0" vertical="center" wrapText="0"/>
    </xf>
    <xf borderId="10" fillId="8" fontId="41" numFmtId="0" xfId="0" applyAlignment="1" applyBorder="1" applyFont="1">
      <alignment vertical="center"/>
    </xf>
    <xf borderId="9" fillId="6" fontId="42" numFmtId="0" xfId="0" applyAlignment="1" applyBorder="1" applyFont="1">
      <alignment shrinkToFit="0" vertical="center" wrapText="0"/>
    </xf>
    <xf borderId="9" fillId="6" fontId="41" numFmtId="0" xfId="0" applyAlignment="1" applyBorder="1" applyFont="1">
      <alignment vertical="center"/>
    </xf>
    <xf borderId="9" fillId="6" fontId="47" numFmtId="0" xfId="0" applyAlignment="1" applyBorder="1" applyFont="1">
      <alignment horizontal="center" readingOrder="0" vertical="center"/>
    </xf>
    <xf borderId="0" fillId="0" fontId="47" numFmtId="0" xfId="0" applyAlignment="1" applyFont="1">
      <alignment horizontal="center" readingOrder="0" vertical="center"/>
    </xf>
    <xf borderId="10" fillId="8" fontId="23" numFmtId="0" xfId="0" applyAlignment="1" applyBorder="1" applyFont="1">
      <alignment vertical="center"/>
    </xf>
    <xf borderId="0" fillId="8" fontId="48" numFmtId="166" xfId="0" applyAlignment="1" applyFont="1" applyNumberFormat="1">
      <alignment readingOrder="0"/>
    </xf>
    <xf borderId="11" fillId="8" fontId="49" numFmtId="0" xfId="0" applyAlignment="1" applyBorder="1" applyFont="1">
      <alignment vertical="center"/>
    </xf>
    <xf borderId="12" fillId="8" fontId="49" numFmtId="0" xfId="0" applyAlignment="1" applyBorder="1" applyFont="1">
      <alignment vertical="center"/>
    </xf>
    <xf borderId="0" fillId="8" fontId="49" numFmtId="0" xfId="0" applyAlignment="1" applyFont="1">
      <alignment vertical="center"/>
    </xf>
    <xf borderId="0" fillId="0" fontId="47" numFmtId="0" xfId="0" applyAlignment="1" applyFont="1">
      <alignment horizontal="right" vertical="center"/>
    </xf>
    <xf borderId="13" fillId="0" fontId="46" numFmtId="0" xfId="0" applyAlignment="1" applyBorder="1" applyFont="1">
      <alignment shrinkToFit="0" vertical="center" wrapText="1"/>
    </xf>
    <xf borderId="13" fillId="0" fontId="46" numFmtId="0" xfId="0" applyAlignment="1" applyBorder="1" applyFont="1">
      <alignment horizontal="center" shrinkToFit="0" vertical="center" wrapText="1"/>
    </xf>
    <xf borderId="13" fillId="0" fontId="8" numFmtId="0" xfId="0" applyBorder="1" applyFont="1"/>
    <xf borderId="0" fillId="0" fontId="49" numFmtId="0" xfId="0" applyAlignment="1" applyFont="1">
      <alignment vertical="center"/>
    </xf>
    <xf borderId="11" fillId="8" fontId="23" numFmtId="0" xfId="0" applyAlignment="1" applyBorder="1" applyFont="1">
      <alignment vertical="center"/>
    </xf>
    <xf borderId="12" fillId="8" fontId="23" numFmtId="0" xfId="0" applyAlignment="1" applyBorder="1" applyFont="1">
      <alignment vertical="center"/>
    </xf>
    <xf borderId="0" fillId="0" fontId="36" numFmtId="0" xfId="0" applyAlignment="1" applyFont="1">
      <alignment horizontal="left" vertical="center"/>
    </xf>
    <xf borderId="14" fillId="8" fontId="36" numFmtId="0" xfId="0" applyAlignment="1" applyBorder="1" applyFont="1">
      <alignment horizontal="left" vertical="center"/>
    </xf>
    <xf borderId="14" fillId="8" fontId="36" numFmtId="3" xfId="0" applyAlignment="1" applyBorder="1" applyFont="1" applyNumberFormat="1">
      <alignment horizontal="left" vertical="center"/>
    </xf>
    <xf borderId="14" fillId="8" fontId="36" numFmtId="167" xfId="0" applyAlignment="1" applyBorder="1" applyFont="1" applyNumberFormat="1">
      <alignment horizontal="left" vertical="center"/>
    </xf>
    <xf borderId="14" fillId="8" fontId="50" numFmtId="0" xfId="0" applyAlignment="1" applyBorder="1" applyFont="1">
      <alignment vertical="center"/>
    </xf>
    <xf borderId="14" fillId="0" fontId="8" numFmtId="0" xfId="0" applyBorder="1" applyFont="1"/>
    <xf borderId="0" fillId="0" fontId="36" numFmtId="0" xfId="0" applyAlignment="1" applyFont="1">
      <alignment horizontal="left" readingOrder="0" vertical="center"/>
    </xf>
    <xf borderId="14" fillId="8" fontId="36" numFmtId="0" xfId="0" applyAlignment="1" applyBorder="1" applyFont="1">
      <alignment horizontal="left" readingOrder="0" vertical="center"/>
    </xf>
    <xf borderId="0" fillId="0" fontId="46" numFmtId="0" xfId="0" applyAlignment="1" applyFont="1">
      <alignment horizontal="center" shrinkToFit="0" vertical="center" wrapText="1"/>
    </xf>
    <xf borderId="0" fillId="0" fontId="51" numFmtId="0" xfId="0" applyAlignment="1" applyFont="1">
      <alignment vertical="center"/>
    </xf>
    <xf borderId="0" fillId="0" fontId="36" numFmtId="0" xfId="0" applyAlignment="1" applyFont="1">
      <alignment horizontal="right" vertical="center"/>
    </xf>
    <xf borderId="15" fillId="8" fontId="23" numFmtId="0" xfId="0" applyAlignment="1" applyBorder="1" applyFont="1">
      <alignment vertical="center"/>
    </xf>
    <xf borderId="15" fillId="8" fontId="49" numFmtId="0" xfId="0" applyAlignment="1" applyBorder="1" applyFont="1">
      <alignment horizontal="center" readingOrder="0" vertical="center"/>
    </xf>
    <xf borderId="16" fillId="8" fontId="49" numFmtId="0" xfId="0" applyAlignment="1" applyBorder="1" applyFont="1">
      <alignment horizontal="center" readingOrder="0" vertical="center"/>
    </xf>
    <xf borderId="0" fillId="8" fontId="49" numFmtId="0" xfId="0" applyAlignment="1" applyFont="1">
      <alignment horizontal="center" readingOrder="0" vertical="center"/>
    </xf>
    <xf borderId="15" fillId="8" fontId="52" numFmtId="0" xfId="0" applyAlignment="1" applyBorder="1" applyFont="1">
      <alignment readingOrder="0" vertical="center"/>
    </xf>
    <xf borderId="15" fillId="8" fontId="41" numFmtId="0" xfId="0" applyAlignment="1" applyBorder="1" applyFont="1">
      <alignment vertical="center"/>
    </xf>
    <xf borderId="8" fillId="6" fontId="42" numFmtId="0" xfId="0" applyAlignment="1" applyBorder="1" applyFont="1">
      <alignment shrinkToFit="0" vertical="center" wrapText="0"/>
    </xf>
    <xf borderId="16" fillId="8" fontId="23" numFmtId="0" xfId="0" applyAlignment="1" applyBorder="1" applyFont="1">
      <alignment vertical="center"/>
    </xf>
    <xf borderId="0" fillId="8" fontId="52" numFmtId="0" xfId="0" applyAlignment="1" applyFont="1">
      <alignment readingOrder="0" vertical="center"/>
    </xf>
    <xf borderId="16" fillId="8" fontId="48" numFmtId="0" xfId="0" applyAlignment="1" applyBorder="1" applyFont="1">
      <alignment readingOrder="0" vertical="center"/>
    </xf>
    <xf borderId="13" fillId="0" fontId="46" numFmtId="0" xfId="0" applyAlignment="1" applyBorder="1" applyFont="1">
      <alignment readingOrder="0" shrinkToFit="0" vertical="center" wrapText="1"/>
    </xf>
    <xf borderId="0" fillId="8" fontId="48" numFmtId="0" xfId="0" applyAlignment="1" applyFont="1">
      <alignment vertical="center"/>
    </xf>
    <xf borderId="0" fillId="8" fontId="23" numFmtId="0" xfId="0" applyAlignment="1" applyFont="1">
      <alignment readingOrder="0" vertical="center"/>
    </xf>
    <xf borderId="14" fillId="8" fontId="36" numFmtId="166" xfId="0" applyAlignment="1" applyBorder="1" applyFont="1" applyNumberFormat="1">
      <alignment horizontal="left" readingOrder="0" vertical="center"/>
    </xf>
    <xf borderId="14" fillId="8" fontId="36" numFmtId="166" xfId="0" applyAlignment="1" applyBorder="1" applyFont="1" applyNumberFormat="1">
      <alignment readingOrder="0" vertical="center"/>
    </xf>
    <xf borderId="14" fillId="8" fontId="50" numFmtId="0" xfId="0" applyAlignment="1" applyBorder="1" applyFont="1">
      <alignment horizontal="center" vertical="center"/>
    </xf>
    <xf borderId="17" fillId="8" fontId="36" numFmtId="0" xfId="0" applyAlignment="1" applyBorder="1" applyFont="1">
      <alignment horizontal="left" readingOrder="0" vertical="center"/>
    </xf>
    <xf borderId="14" fillId="8" fontId="36" numFmtId="3" xfId="0" applyAlignment="1" applyBorder="1" applyFont="1" applyNumberFormat="1">
      <alignment horizontal="left" readingOrder="0" shrinkToFit="0" vertical="center" wrapText="0"/>
    </xf>
    <xf borderId="14" fillId="8" fontId="53" numFmtId="166" xfId="0" applyAlignment="1" applyBorder="1" applyFont="1" applyNumberFormat="1">
      <alignment readingOrder="0" vertical="center"/>
    </xf>
    <xf borderId="18" fillId="8" fontId="23" numFmtId="0" xfId="0" applyAlignment="1" applyBorder="1" applyFont="1">
      <alignment vertical="center"/>
    </xf>
    <xf borderId="18" fillId="8" fontId="23" numFmtId="0" xfId="0" applyAlignment="1" applyBorder="1" applyFont="1">
      <alignment readingOrder="0" vertical="center"/>
    </xf>
    <xf borderId="18" fillId="8" fontId="54" numFmtId="0" xfId="0" applyAlignment="1" applyBorder="1" applyFont="1">
      <alignment horizontal="left" readingOrder="0" shrinkToFit="0" vertical="center" wrapText="1"/>
    </xf>
    <xf borderId="19" fillId="0" fontId="8" numFmtId="0" xfId="0" applyBorder="1" applyFont="1"/>
    <xf borderId="11" fillId="8" fontId="23" numFmtId="0" xfId="0" applyAlignment="1" applyBorder="1" applyFont="1">
      <alignment readingOrder="0" vertical="center"/>
    </xf>
    <xf borderId="11" fillId="8" fontId="23" numFmtId="0" xfId="0" applyAlignment="1" applyBorder="1" applyFont="1">
      <alignment readingOrder="0" vertical="center"/>
    </xf>
    <xf borderId="20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Roboto"/>
              </a:defRPr>
            </a:pPr>
            <a:r>
              <a:rPr b="1" sz="2000">
                <a:solidFill>
                  <a:srgbClr val="000000"/>
                </a:solidFill>
                <a:latin typeface="Roboto"/>
              </a:rPr>
              <a:t>User by Medium and Month</a:t>
            </a:r>
          </a:p>
        </c:rich>
      </c:tx>
      <c:overlay val="0"/>
    </c:title>
    <c:plotArea>
      <c:layout>
        <c:manualLayout>
          <c:xMode val="edge"/>
          <c:yMode val="edge"/>
          <c:x val="0.10333"/>
          <c:y val="0.19135000000000002"/>
          <c:w val="0.8816700000000001"/>
          <c:h val="0.68464"/>
        </c:manualLayout>
      </c:layout>
      <c:lineChart>
        <c:ser>
          <c:idx val="0"/>
          <c:order val="0"/>
          <c:tx>
            <c:strRef>
              <c:f>RawData!$B$18</c:f>
            </c:strRef>
          </c:tx>
          <c:spPr>
            <a:ln cmpd="sng" w="9525">
              <a:solidFill>
                <a:srgbClr val="E51B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E51B00">
                  <a:alpha val="100000"/>
                </a:srgbClr>
              </a:solidFill>
              <a:ln cmpd="sng">
                <a:solidFill>
                  <a:srgbClr val="E51B00">
                    <a:alpha val="100000"/>
                  </a:srgbClr>
                </a:solidFill>
              </a:ln>
            </c:spPr>
          </c:marker>
          <c:cat>
            <c:strRef>
              <c:f>RawData!$C$17:$N$17</c:f>
            </c:strRef>
          </c:cat>
          <c:val>
            <c:numRef>
              <c:f>RawData!$C$18:$N$18</c:f>
              <c:numCache/>
            </c:numRef>
          </c:val>
          <c:smooth val="1"/>
        </c:ser>
        <c:ser>
          <c:idx val="1"/>
          <c:order val="1"/>
          <c:tx>
            <c:strRef>
              <c:f>RawData!$B$19</c:f>
            </c:strRef>
          </c:tx>
          <c:spPr>
            <a:ln cmpd="sng" w="9525">
              <a:solidFill>
                <a:srgbClr val="66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660000">
                  <a:alpha val="100000"/>
                </a:srgbClr>
              </a:solidFill>
              <a:ln cmpd="sng">
                <a:solidFill>
                  <a:srgbClr val="660000">
                    <a:alpha val="100000"/>
                  </a:srgbClr>
                </a:solidFill>
              </a:ln>
            </c:spPr>
          </c:marker>
          <c:cat>
            <c:strRef>
              <c:f>RawData!$C$17:$N$17</c:f>
            </c:strRef>
          </c:cat>
          <c:val>
            <c:numRef>
              <c:f>RawData!$C$19:$N$19</c:f>
              <c:numCache/>
            </c:numRef>
          </c:val>
          <c:smooth val="1"/>
        </c:ser>
        <c:ser>
          <c:idx val="2"/>
          <c:order val="2"/>
          <c:tx>
            <c:strRef>
              <c:f>RawData!$B$20</c:f>
            </c:strRef>
          </c:tx>
          <c:spPr>
            <a:ln cmpd="sng" w="9525">
              <a:solidFill>
                <a:srgbClr val="B6D7A8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B6D7A8">
                  <a:alpha val="100000"/>
                </a:srgbClr>
              </a:solidFill>
              <a:ln cmpd="sng">
                <a:solidFill>
                  <a:srgbClr val="B6D7A8">
                    <a:alpha val="100000"/>
                  </a:srgbClr>
                </a:solidFill>
              </a:ln>
            </c:spPr>
          </c:marker>
          <c:cat>
            <c:strRef>
              <c:f>RawData!$C$17:$N$17</c:f>
            </c:strRef>
          </c:cat>
          <c:val>
            <c:numRef>
              <c:f>RawData!$C$20:$N$20</c:f>
              <c:numCache/>
            </c:numRef>
          </c:val>
          <c:smooth val="1"/>
        </c:ser>
        <c:ser>
          <c:idx val="3"/>
          <c:order val="3"/>
          <c:tx>
            <c:strRef>
              <c:f>RawData!$B$21</c:f>
            </c:strRef>
          </c:tx>
          <c:spPr>
            <a:ln cmpd="sng" w="9525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cat>
            <c:strRef>
              <c:f>RawData!$C$17:$N$17</c:f>
            </c:strRef>
          </c:cat>
          <c:val>
            <c:numRef>
              <c:f>RawData!$C$21:$N$21</c:f>
              <c:numCache/>
            </c:numRef>
          </c:val>
          <c:smooth val="1"/>
        </c:ser>
        <c:ser>
          <c:idx val="4"/>
          <c:order val="4"/>
          <c:tx>
            <c:strRef>
              <c:f>RawData!$B$22</c:f>
            </c:strRef>
          </c:tx>
          <c:spPr>
            <a:ln cmpd="sng" w="9525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cat>
            <c:strRef>
              <c:f>RawData!$C$17:$N$17</c:f>
            </c:strRef>
          </c:cat>
          <c:val>
            <c:numRef>
              <c:f>RawData!$C$22:$N$22</c:f>
              <c:numCache/>
            </c:numRef>
          </c:val>
          <c:smooth val="1"/>
        </c:ser>
        <c:ser>
          <c:idx val="5"/>
          <c:order val="5"/>
          <c:tx>
            <c:strRef>
              <c:f>RawData!$B$23</c:f>
            </c:strRef>
          </c:tx>
          <c:spPr>
            <a:ln cmpd="sng" w="9525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cat>
            <c:strRef>
              <c:f>RawData!$C$17:$N$17</c:f>
            </c:strRef>
          </c:cat>
          <c:val>
            <c:numRef>
              <c:f>RawData!$C$23:$N$23</c:f>
              <c:numCache/>
            </c:numRef>
          </c:val>
          <c:smooth val="1"/>
        </c:ser>
        <c:axId val="1563113100"/>
        <c:axId val="539229648"/>
      </c:lineChart>
      <c:catAx>
        <c:axId val="1563113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539229648"/>
      </c:catAx>
      <c:valAx>
        <c:axId val="539229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FFFFFF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FFFFFF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Roboto"/>
              </a:defRPr>
            </a:pPr>
          </a:p>
        </c:txPr>
        <c:crossAx val="1563113100"/>
      </c:valAx>
      <c:spPr>
        <a:solidFill>
          <a:srgbClr val="F3F3F3"/>
        </a:solidFill>
      </c:spPr>
    </c:plotArea>
    <c:legend>
      <c:legendPos val="b"/>
      <c:overlay val="0"/>
      <c:txPr>
        <a:bodyPr/>
        <a:lstStyle/>
        <a:p>
          <a:pPr lvl="0">
            <a:defRPr b="0" sz="1100">
              <a:solidFill>
                <a:srgbClr val="000000"/>
              </a:solidFill>
              <a:latin typeface="Roboto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12</xdr:row>
      <xdr:rowOff>47625</xdr:rowOff>
    </xdr:from>
    <xdr:ext cx="6810375" cy="4181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facebook.com" TargetMode="External"/><Relationship Id="rId2" Type="http://schemas.openxmlformats.org/officeDocument/2006/relationships/hyperlink" Target="http://linkedin.com" TargetMode="External"/><Relationship Id="rId3" Type="http://schemas.openxmlformats.org/officeDocument/2006/relationships/hyperlink" Target="http://t.co" TargetMode="External"/><Relationship Id="rId4" Type="http://schemas.openxmlformats.org/officeDocument/2006/relationships/hyperlink" Target="http://t.co" TargetMode="External"/><Relationship Id="rId11" Type="http://schemas.openxmlformats.org/officeDocument/2006/relationships/hyperlink" Target="http://linkedin.com" TargetMode="External"/><Relationship Id="rId10" Type="http://schemas.openxmlformats.org/officeDocument/2006/relationships/hyperlink" Target="http://linkedin.com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://linkedin.com" TargetMode="External"/><Relationship Id="rId5" Type="http://schemas.openxmlformats.org/officeDocument/2006/relationships/hyperlink" Target="http://quora.com" TargetMode="External"/><Relationship Id="rId6" Type="http://schemas.openxmlformats.org/officeDocument/2006/relationships/hyperlink" Target="http://twitter.com" TargetMode="External"/><Relationship Id="rId7" Type="http://schemas.openxmlformats.org/officeDocument/2006/relationships/hyperlink" Target="http://linkedin.com" TargetMode="External"/><Relationship Id="rId8" Type="http://schemas.openxmlformats.org/officeDocument/2006/relationships/hyperlink" Target="http://linkedin.com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youtube.com" TargetMode="External"/><Relationship Id="rId22" Type="http://schemas.openxmlformats.org/officeDocument/2006/relationships/hyperlink" Target="http://twitter.com" TargetMode="External"/><Relationship Id="rId21" Type="http://schemas.openxmlformats.org/officeDocument/2006/relationships/hyperlink" Target="http://medium.com" TargetMode="External"/><Relationship Id="rId24" Type="http://schemas.openxmlformats.org/officeDocument/2006/relationships/hyperlink" Target="http://twitter.com" TargetMode="External"/><Relationship Id="rId23" Type="http://schemas.openxmlformats.org/officeDocument/2006/relationships/hyperlink" Target="http://twitter.com" TargetMode="External"/><Relationship Id="rId1" Type="http://schemas.openxmlformats.org/officeDocument/2006/relationships/hyperlink" Target="http://facebook.com" TargetMode="External"/><Relationship Id="rId2" Type="http://schemas.openxmlformats.org/officeDocument/2006/relationships/hyperlink" Target="http://linkedin.com" TargetMode="External"/><Relationship Id="rId3" Type="http://schemas.openxmlformats.org/officeDocument/2006/relationships/hyperlink" Target="http://t.co" TargetMode="External"/><Relationship Id="rId4" Type="http://schemas.openxmlformats.org/officeDocument/2006/relationships/hyperlink" Target="http://t.co" TargetMode="External"/><Relationship Id="rId9" Type="http://schemas.openxmlformats.org/officeDocument/2006/relationships/hyperlink" Target="http://moz.com" TargetMode="External"/><Relationship Id="rId26" Type="http://schemas.openxmlformats.org/officeDocument/2006/relationships/hyperlink" Target="http://flipboard.com" TargetMode="External"/><Relationship Id="rId25" Type="http://schemas.openxmlformats.org/officeDocument/2006/relationships/hyperlink" Target="http://reddit.com" TargetMode="External"/><Relationship Id="rId28" Type="http://schemas.openxmlformats.org/officeDocument/2006/relationships/hyperlink" Target="http://linkedin.com" TargetMode="External"/><Relationship Id="rId27" Type="http://schemas.openxmlformats.org/officeDocument/2006/relationships/hyperlink" Target="http://facebook.com" TargetMode="External"/><Relationship Id="rId5" Type="http://schemas.openxmlformats.org/officeDocument/2006/relationships/hyperlink" Target="http://quora.com" TargetMode="External"/><Relationship Id="rId6" Type="http://schemas.openxmlformats.org/officeDocument/2006/relationships/hyperlink" Target="http://twitter.com" TargetMode="External"/><Relationship Id="rId29" Type="http://schemas.openxmlformats.org/officeDocument/2006/relationships/hyperlink" Target="http://t.co" TargetMode="External"/><Relationship Id="rId7" Type="http://schemas.openxmlformats.org/officeDocument/2006/relationships/hyperlink" Target="http://plus.google.com" TargetMode="External"/><Relationship Id="rId8" Type="http://schemas.openxmlformats.org/officeDocument/2006/relationships/hyperlink" Target="http://moz.com" TargetMode="External"/><Relationship Id="rId31" Type="http://schemas.openxmlformats.org/officeDocument/2006/relationships/hyperlink" Target="http://quora.com" TargetMode="External"/><Relationship Id="rId30" Type="http://schemas.openxmlformats.org/officeDocument/2006/relationships/hyperlink" Target="http://t.co" TargetMode="External"/><Relationship Id="rId11" Type="http://schemas.openxmlformats.org/officeDocument/2006/relationships/hyperlink" Target="http://moz.com" TargetMode="External"/><Relationship Id="rId33" Type="http://schemas.openxmlformats.org/officeDocument/2006/relationships/hyperlink" Target="http://moz.com" TargetMode="External"/><Relationship Id="rId10" Type="http://schemas.openxmlformats.org/officeDocument/2006/relationships/hyperlink" Target="http://moz.com" TargetMode="External"/><Relationship Id="rId32" Type="http://schemas.openxmlformats.org/officeDocument/2006/relationships/hyperlink" Target="http://moz.com" TargetMode="External"/><Relationship Id="rId13" Type="http://schemas.openxmlformats.org/officeDocument/2006/relationships/hyperlink" Target="http://moz.com" TargetMode="External"/><Relationship Id="rId12" Type="http://schemas.openxmlformats.org/officeDocument/2006/relationships/hyperlink" Target="http://moz.com" TargetMode="External"/><Relationship Id="rId34" Type="http://schemas.openxmlformats.org/officeDocument/2006/relationships/drawing" Target="../drawings/drawing3.xml"/><Relationship Id="rId15" Type="http://schemas.openxmlformats.org/officeDocument/2006/relationships/hyperlink" Target="http://youtube.com" TargetMode="External"/><Relationship Id="rId14" Type="http://schemas.openxmlformats.org/officeDocument/2006/relationships/hyperlink" Target="http://moz.com" TargetMode="External"/><Relationship Id="rId17" Type="http://schemas.openxmlformats.org/officeDocument/2006/relationships/hyperlink" Target="http://youtube.com" TargetMode="External"/><Relationship Id="rId16" Type="http://schemas.openxmlformats.org/officeDocument/2006/relationships/hyperlink" Target="http://youtube.com" TargetMode="External"/><Relationship Id="rId19" Type="http://schemas.openxmlformats.org/officeDocument/2006/relationships/hyperlink" Target="http://youtube.com" TargetMode="External"/><Relationship Id="rId18" Type="http://schemas.openxmlformats.org/officeDocument/2006/relationships/hyperlink" Target="http://youtube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</row>
    <row r="2">
      <c r="A2" s="6" t="s">
        <v>2</v>
      </c>
    </row>
    <row r="3">
      <c r="A3" s="10" t="s">
        <v>3</v>
      </c>
    </row>
    <row r="4">
      <c r="H4" s="15">
        <v>1.5091053E7</v>
      </c>
    </row>
    <row r="5">
      <c r="A5" s="19" t="s">
        <v>6</v>
      </c>
      <c r="H5" s="21"/>
    </row>
    <row r="6">
      <c r="A6" s="25" t="s">
        <v>8</v>
      </c>
      <c r="H6" s="21"/>
    </row>
    <row r="8">
      <c r="A8" s="25" t="s">
        <v>11</v>
      </c>
    </row>
    <row r="10">
      <c r="A10" s="25" t="s">
        <v>15</v>
      </c>
    </row>
    <row r="12">
      <c r="A12" s="25" t="s">
        <v>18</v>
      </c>
    </row>
    <row r="19">
      <c r="A19" s="53" t="s">
        <v>27</v>
      </c>
      <c r="B19" s="55"/>
      <c r="C19" s="53" t="s">
        <v>40</v>
      </c>
      <c r="D19" s="53" t="s">
        <v>41</v>
      </c>
      <c r="E19" s="53" t="s">
        <v>43</v>
      </c>
      <c r="F19" s="55"/>
      <c r="G19" s="53" t="s">
        <v>45</v>
      </c>
      <c r="H19" s="53" t="s">
        <v>46</v>
      </c>
      <c r="I19" s="53" t="s">
        <v>47</v>
      </c>
      <c r="J19" s="53" t="s">
        <v>48</v>
      </c>
      <c r="K19" s="53" t="s">
        <v>50</v>
      </c>
      <c r="L19" s="55"/>
      <c r="M19" s="53" t="s">
        <v>51</v>
      </c>
      <c r="N19" s="53" t="s">
        <v>52</v>
      </c>
      <c r="O19" s="53" t="s">
        <v>53</v>
      </c>
      <c r="P19" s="55"/>
      <c r="Q19" s="53" t="s">
        <v>54</v>
      </c>
      <c r="R19" s="53" t="s">
        <v>55</v>
      </c>
      <c r="S19" s="53" t="s">
        <v>58</v>
      </c>
      <c r="T19" s="53" t="s">
        <v>60</v>
      </c>
      <c r="U19" s="53" t="s">
        <v>61</v>
      </c>
      <c r="V19" s="55"/>
      <c r="W19" s="53" t="s">
        <v>62</v>
      </c>
      <c r="X19" s="53" t="s">
        <v>14</v>
      </c>
      <c r="Y19" s="53" t="s">
        <v>63</v>
      </c>
      <c r="Z19" s="53" t="s">
        <v>64</v>
      </c>
      <c r="AA19" s="53" t="s">
        <v>65</v>
      </c>
      <c r="AB19" s="53" t="s">
        <v>67</v>
      </c>
      <c r="AC19" s="53" t="s">
        <v>68</v>
      </c>
      <c r="AD19" s="53" t="s">
        <v>69</v>
      </c>
      <c r="AE19" s="53" t="s">
        <v>70</v>
      </c>
      <c r="AF19" s="53" t="s">
        <v>72</v>
      </c>
      <c r="AG19" s="53" t="s">
        <v>73</v>
      </c>
      <c r="AH19" s="55"/>
      <c r="AI19" s="55"/>
      <c r="AJ19" s="53" t="s">
        <v>74</v>
      </c>
      <c r="AK19" s="53" t="s">
        <v>75</v>
      </c>
      <c r="AL19" s="53" t="s">
        <v>77</v>
      </c>
      <c r="AM19" s="55"/>
      <c r="AN19" s="53" t="s">
        <v>78</v>
      </c>
      <c r="AO19" s="53" t="s">
        <v>79</v>
      </c>
      <c r="AP19" s="53" t="s">
        <v>80</v>
      </c>
      <c r="AQ19" s="53" t="s">
        <v>81</v>
      </c>
      <c r="AR19" s="53" t="s">
        <v>82</v>
      </c>
      <c r="AS19" s="53" t="s">
        <v>84</v>
      </c>
      <c r="AT19" s="53" t="s">
        <v>86</v>
      </c>
      <c r="AU19" s="53" t="s">
        <v>87</v>
      </c>
      <c r="AV19" s="55"/>
      <c r="AW19" s="55"/>
      <c r="AX19" s="55"/>
      <c r="AY19" s="55"/>
      <c r="AZ19" s="55"/>
    </row>
    <row r="20" hidden="1">
      <c r="A20" s="19" t="s">
        <v>88</v>
      </c>
      <c r="C20" s="19" t="s">
        <v>90</v>
      </c>
      <c r="D20" s="19" t="s">
        <v>91</v>
      </c>
      <c r="E20" s="19" t="s">
        <v>92</v>
      </c>
      <c r="G20" s="19" t="s">
        <v>93</v>
      </c>
      <c r="H20" s="19" t="s">
        <v>94</v>
      </c>
      <c r="I20" s="19" t="s">
        <v>95</v>
      </c>
      <c r="J20" s="19" t="s">
        <v>96</v>
      </c>
      <c r="K20" s="19" t="s">
        <v>98</v>
      </c>
      <c r="M20" s="19" t="s">
        <v>99</v>
      </c>
      <c r="N20" s="19" t="s">
        <v>100</v>
      </c>
      <c r="O20" s="19" t="s">
        <v>101</v>
      </c>
      <c r="Q20" s="19" t="s">
        <v>102</v>
      </c>
      <c r="R20" s="19" t="s">
        <v>103</v>
      </c>
      <c r="S20" s="19" t="s">
        <v>105</v>
      </c>
      <c r="T20" s="19" t="s">
        <v>106</v>
      </c>
      <c r="U20" s="19" t="s">
        <v>107</v>
      </c>
      <c r="W20" s="19" t="s">
        <v>108</v>
      </c>
      <c r="X20" s="19" t="s">
        <v>109</v>
      </c>
      <c r="Y20" s="19" t="s">
        <v>110</v>
      </c>
      <c r="Z20" s="19" t="s">
        <v>112</v>
      </c>
      <c r="AA20" s="19" t="s">
        <v>113</v>
      </c>
      <c r="AB20" s="19" t="s">
        <v>114</v>
      </c>
      <c r="AC20" s="19" t="s">
        <v>115</v>
      </c>
      <c r="AD20" s="19" t="s">
        <v>116</v>
      </c>
      <c r="AE20" s="19" t="s">
        <v>117</v>
      </c>
      <c r="AF20" s="19" t="s">
        <v>118</v>
      </c>
      <c r="AG20" s="19" t="s">
        <v>119</v>
      </c>
      <c r="AJ20" s="19" t="s">
        <v>120</v>
      </c>
      <c r="AK20" s="19" t="s">
        <v>121</v>
      </c>
      <c r="AL20" s="19" t="s">
        <v>122</v>
      </c>
      <c r="AN20" s="19" t="s">
        <v>123</v>
      </c>
      <c r="AO20" s="19" t="s">
        <v>124</v>
      </c>
      <c r="AP20" s="19" t="s">
        <v>125</v>
      </c>
      <c r="AQ20" s="19" t="s">
        <v>126</v>
      </c>
      <c r="AR20" s="19" t="s">
        <v>127</v>
      </c>
      <c r="AS20" s="19" t="s">
        <v>128</v>
      </c>
      <c r="AT20" s="19" t="s">
        <v>129</v>
      </c>
      <c r="AU20" s="19" t="s">
        <v>130</v>
      </c>
    </row>
    <row r="21">
      <c r="A21" s="70"/>
      <c r="B21" s="71"/>
      <c r="C21" s="71"/>
      <c r="D21" s="70" t="str">
        <f>IFERROR(__xludf.DUMMYFUNCTION("ARRAY_CONSTRAIN(split(CELL(""ADDRESS"",zsupermetrics_YwCJzbBwg2YvC7a9kH3fWuyYiaiebA),""!""),1,1)"),"#NAME?")</f>
        <v>#NAME?</v>
      </c>
      <c r="E21" s="70" t="str">
        <f>CELL("ADDRESS",zsupermetrics_YwCJzbBwg2YvC7a9kH3fWuyYiaiebA)&amp;":"&amp;address(row(zsupermetrics_YwCJzbBwg2YvC7a9kH3fWuyYiaiebA)+rows(zsupermetrics_YwCJzbBwg2YvC7a9kH3fWuyYiaiebA)-1,column(zsupermetrics_YwCJzbBwg2YvC7a9kH3fWuyYiaiebA)+COLUMNS(zsupermetrics_YwCJzbBwg2YvC7a9kH3fWuyYiaiebA)-1)</f>
        <v>#NAME?</v>
      </c>
      <c r="F21" s="71"/>
      <c r="G21" s="78">
        <v>43035.621932870374</v>
      </c>
      <c r="H21" s="78">
        <v>43035.621932870374</v>
      </c>
      <c r="I21" s="79" t="s">
        <v>138</v>
      </c>
      <c r="J21" s="80">
        <v>1.509105323283E12</v>
      </c>
      <c r="K21" s="70" t="b">
        <v>0</v>
      </c>
      <c r="L21" s="71"/>
      <c r="M21" s="70" t="s">
        <v>139</v>
      </c>
      <c r="N21" s="71"/>
      <c r="O21" s="70" t="s">
        <v>141</v>
      </c>
      <c r="P21" s="71"/>
      <c r="Q21" s="70" t="s">
        <v>142</v>
      </c>
      <c r="R21" s="71"/>
      <c r="S21" s="71"/>
      <c r="T21" s="71"/>
      <c r="U21" s="71"/>
      <c r="V21" s="71"/>
      <c r="W21" s="70"/>
      <c r="X21" s="70" t="s">
        <v>144</v>
      </c>
      <c r="Y21" s="70" t="s">
        <v>145</v>
      </c>
      <c r="Z21" s="70" t="s">
        <v>146</v>
      </c>
      <c r="AA21" s="70" t="s">
        <v>147</v>
      </c>
      <c r="AB21" s="70" t="s">
        <v>147</v>
      </c>
      <c r="AC21" s="71"/>
      <c r="AD21" s="70">
        <v>10.0</v>
      </c>
      <c r="AE21" s="70">
        <v>20.0</v>
      </c>
      <c r="AF21" s="70" t="s">
        <v>147</v>
      </c>
      <c r="AG21" s="70" t="s">
        <v>149</v>
      </c>
      <c r="AH21" s="71"/>
      <c r="AI21" s="71"/>
      <c r="AJ21" s="71"/>
      <c r="AK21" s="71"/>
      <c r="AL21" s="71"/>
      <c r="AM21" s="71"/>
      <c r="AN21" s="71"/>
      <c r="AO21" s="71"/>
      <c r="AP21" s="81" t="s">
        <v>150</v>
      </c>
      <c r="AQ21" s="71"/>
      <c r="AR21" s="71"/>
      <c r="AS21" s="71"/>
      <c r="AT21" s="71"/>
      <c r="AU21" s="70"/>
      <c r="AV21" s="71"/>
      <c r="AW21" s="71"/>
      <c r="AX21" s="71"/>
    </row>
    <row r="22">
      <c r="A22" s="70"/>
      <c r="B22" s="71"/>
      <c r="C22" s="71"/>
      <c r="D22" s="70" t="str">
        <f>IFERROR(__xludf.DUMMYFUNCTION("ARRAY_CONSTRAIN(split(CELL(""ADDRESS"",zsupermetrics_jGUP29KhNNfsgMBQBPNraVAN8EAcB3),""!""),1,1)"),"#NAME?")</f>
        <v>#NAME?</v>
      </c>
      <c r="E22" s="70" t="str">
        <f>CELL("ADDRESS",zsupermetrics_jGUP29KhNNfsgMBQBPNraVAN8EAcB3)&amp;":"&amp;address(row(zsupermetrics_jGUP29KhNNfsgMBQBPNraVAN8EAcB3)+rows(zsupermetrics_jGUP29KhNNfsgMBQBPNraVAN8EAcB3)-1,column(zsupermetrics_jGUP29KhNNfsgMBQBPNraVAN8EAcB3)+COLUMNS(zsupermetrics_jGUP29KhNNfsgMBQBPNraVAN8EAcB3)-1)</f>
        <v>#NAME?</v>
      </c>
      <c r="F22" s="71"/>
      <c r="G22" s="78">
        <v>43035.6219212963</v>
      </c>
      <c r="H22" s="78">
        <v>43035.6219212963</v>
      </c>
      <c r="I22" s="79" t="s">
        <v>138</v>
      </c>
      <c r="J22" s="80">
        <v>1.509105323283E12</v>
      </c>
      <c r="K22" s="70" t="b">
        <v>0</v>
      </c>
      <c r="L22" s="71"/>
      <c r="M22" s="70" t="s">
        <v>139</v>
      </c>
      <c r="N22" s="71"/>
      <c r="O22" s="70" t="s">
        <v>141</v>
      </c>
      <c r="P22" s="71"/>
      <c r="Q22" s="70" t="s">
        <v>154</v>
      </c>
      <c r="R22" s="71"/>
      <c r="S22" s="71"/>
      <c r="T22" s="71"/>
      <c r="U22" s="71"/>
      <c r="V22" s="71"/>
      <c r="W22" s="70"/>
      <c r="X22" s="70" t="s">
        <v>156</v>
      </c>
      <c r="Y22" s="70" t="s">
        <v>157</v>
      </c>
      <c r="Z22" s="70" t="s">
        <v>147</v>
      </c>
      <c r="AA22" s="70" t="s">
        <v>147</v>
      </c>
      <c r="AB22" s="70" t="s">
        <v>147</v>
      </c>
      <c r="AC22" s="71"/>
      <c r="AD22" s="70">
        <v>10000.0</v>
      </c>
      <c r="AE22" s="71"/>
      <c r="AF22" s="70" t="s">
        <v>147</v>
      </c>
      <c r="AG22" s="70" t="s">
        <v>149</v>
      </c>
      <c r="AH22" s="71"/>
      <c r="AI22" s="71"/>
      <c r="AJ22" s="71"/>
      <c r="AK22" s="71"/>
      <c r="AL22" s="71"/>
      <c r="AM22" s="71"/>
      <c r="AN22" s="71"/>
      <c r="AO22" s="71"/>
      <c r="AP22" s="81" t="s">
        <v>158</v>
      </c>
      <c r="AQ22" s="71"/>
      <c r="AR22" s="71"/>
      <c r="AS22" s="71"/>
      <c r="AT22" s="71"/>
      <c r="AU22" s="70"/>
      <c r="AV22" s="71"/>
      <c r="AW22" s="71"/>
      <c r="AX22" s="71"/>
    </row>
    <row r="23">
      <c r="A23" s="70"/>
      <c r="B23" s="71"/>
      <c r="C23" s="71"/>
      <c r="D23" s="70" t="str">
        <f>IFERROR(__xludf.DUMMYFUNCTION("ARRAY_CONSTRAIN(split(CELL(""ADDRESS"",zsupermetrics_g2u7LzBOcBOnMs25Y02G12smse96bw),""!""),1,1)"),"#NAME?")</f>
        <v>#NAME?</v>
      </c>
      <c r="E23" s="70" t="str">
        <f>CELL("ADDRESS",zsupermetrics_g2u7LzBOcBOnMs25Y02G12smse96bw)&amp;":"&amp;address(row(zsupermetrics_g2u7LzBOcBOnMs25Y02G12smse96bw)+rows(zsupermetrics_g2u7LzBOcBOnMs25Y02G12smse96bw)-1,column(zsupermetrics_g2u7LzBOcBOnMs25Y02G12smse96bw)+COLUMNS(zsupermetrics_g2u7LzBOcBOnMs25Y02G12smse96bw)-1)</f>
        <v>#NAME?</v>
      </c>
      <c r="F23" s="71"/>
      <c r="G23" s="78">
        <v>43035.621979166666</v>
      </c>
      <c r="H23" s="78">
        <v>43035.621979166666</v>
      </c>
      <c r="I23" s="79" t="s">
        <v>138</v>
      </c>
      <c r="J23" s="80">
        <v>1.509105323283E12</v>
      </c>
      <c r="K23" s="70" t="b">
        <v>0</v>
      </c>
      <c r="L23" s="71"/>
      <c r="M23" s="70" t="s">
        <v>139</v>
      </c>
      <c r="N23" s="71"/>
      <c r="O23" s="70" t="s">
        <v>141</v>
      </c>
      <c r="P23" s="71"/>
      <c r="Q23" s="70" t="s">
        <v>162</v>
      </c>
      <c r="R23" s="71"/>
      <c r="S23" s="71"/>
      <c r="T23" s="71"/>
      <c r="U23" s="71"/>
      <c r="V23" s="71"/>
      <c r="W23" s="70"/>
      <c r="X23" s="70" t="s">
        <v>163</v>
      </c>
      <c r="Y23" s="70" t="s">
        <v>164</v>
      </c>
      <c r="Z23" s="70" t="s">
        <v>147</v>
      </c>
      <c r="AA23" s="70" t="s">
        <v>147</v>
      </c>
      <c r="AB23" s="70" t="s">
        <v>147</v>
      </c>
      <c r="AC23" s="71"/>
      <c r="AD23" s="70">
        <v>10000.0</v>
      </c>
      <c r="AE23" s="71"/>
      <c r="AF23" s="70" t="s">
        <v>147</v>
      </c>
      <c r="AG23" s="70" t="s">
        <v>149</v>
      </c>
      <c r="AH23" s="71"/>
      <c r="AI23" s="71"/>
      <c r="AJ23" s="71"/>
      <c r="AK23" s="71"/>
      <c r="AL23" s="71"/>
      <c r="AM23" s="71"/>
      <c r="AN23" s="71"/>
      <c r="AO23" s="71"/>
      <c r="AP23" s="81" t="s">
        <v>166</v>
      </c>
      <c r="AQ23" s="71"/>
      <c r="AR23" s="71"/>
      <c r="AS23" s="71"/>
      <c r="AT23" s="71"/>
      <c r="AU23" s="70"/>
      <c r="AV23" s="71"/>
      <c r="AW23" s="71"/>
      <c r="AX23" s="71"/>
    </row>
    <row r="24">
      <c r="A24" s="70"/>
      <c r="B24" s="71"/>
      <c r="C24" s="71"/>
      <c r="D24" s="70" t="str">
        <f>IFERROR(__xludf.DUMMYFUNCTION("ARRAY_CONSTRAIN(split(CELL(""ADDRESS"",zsupermetrics_nJ7FfLFQaYxxEBCZN2VrT9nejM2Y0M),""!""),1,1)"),"#NAME?")</f>
        <v>#NAME?</v>
      </c>
      <c r="E24" s="70" t="str">
        <f>CELL("ADDRESS",zsupermetrics_nJ7FfLFQaYxxEBCZN2VrT9nejM2Y0M)&amp;":"&amp;address(row(zsupermetrics_nJ7FfLFQaYxxEBCZN2VrT9nejM2Y0M)+rows(zsupermetrics_nJ7FfLFQaYxxEBCZN2VrT9nejM2Y0M)-1,column(zsupermetrics_nJ7FfLFQaYxxEBCZN2VrT9nejM2Y0M)+COLUMNS(zsupermetrics_nJ7FfLFQaYxxEBCZN2VrT9nejM2Y0M)-1)</f>
        <v>#NAME?</v>
      </c>
      <c r="F24" s="71"/>
      <c r="G24" s="78">
        <v>43035.62195601852</v>
      </c>
      <c r="H24" s="78">
        <v>43035.62195601852</v>
      </c>
      <c r="I24" s="79" t="s">
        <v>138</v>
      </c>
      <c r="J24" s="80">
        <v>1.509105323283E12</v>
      </c>
      <c r="K24" s="70" t="b">
        <v>0</v>
      </c>
      <c r="L24" s="71"/>
      <c r="M24" s="70" t="s">
        <v>139</v>
      </c>
      <c r="N24" s="71"/>
      <c r="O24" s="70" t="s">
        <v>141</v>
      </c>
      <c r="P24" s="71"/>
      <c r="Q24" s="70" t="s">
        <v>162</v>
      </c>
      <c r="R24" s="71"/>
      <c r="S24" s="71"/>
      <c r="T24" s="70" t="s">
        <v>169</v>
      </c>
      <c r="U24" s="70" t="s">
        <v>170</v>
      </c>
      <c r="V24" s="71"/>
      <c r="W24" s="70"/>
      <c r="X24" s="70" t="s">
        <v>171</v>
      </c>
      <c r="Y24" s="70" t="s">
        <v>147</v>
      </c>
      <c r="Z24" s="70" t="s">
        <v>147</v>
      </c>
      <c r="AA24" s="70" t="s">
        <v>147</v>
      </c>
      <c r="AB24" s="70" t="s">
        <v>147</v>
      </c>
      <c r="AC24" s="71"/>
      <c r="AD24" s="80">
        <v>1000.0</v>
      </c>
      <c r="AE24" s="80">
        <v>10.0</v>
      </c>
      <c r="AF24" s="70" t="s">
        <v>172</v>
      </c>
      <c r="AG24" s="70" t="s">
        <v>149</v>
      </c>
      <c r="AH24" s="71"/>
      <c r="AI24" s="71"/>
      <c r="AJ24" s="71"/>
      <c r="AK24" s="71"/>
      <c r="AL24" s="71"/>
      <c r="AM24" s="71"/>
      <c r="AN24" s="71"/>
      <c r="AO24" s="71"/>
      <c r="AP24" s="81" t="s">
        <v>173</v>
      </c>
      <c r="AQ24" s="71"/>
      <c r="AR24" s="71"/>
      <c r="AS24" s="71"/>
      <c r="AT24" s="71"/>
      <c r="AU24" s="70"/>
      <c r="AV24" s="71"/>
      <c r="AW24" s="71"/>
      <c r="AX24" s="71"/>
    </row>
    <row r="25">
      <c r="A25" s="70"/>
      <c r="B25" s="71"/>
      <c r="C25" s="71"/>
      <c r="D25" s="70" t="str">
        <f>IFERROR(__xludf.DUMMYFUNCTION("ARRAY_CONSTRAIN(split(CELL(""ADDRESS"",zsupermetrics_yKDA3oHGDUToQfWdpDIGFnK1zsGqJ5),""!""),1,1)"),"#NAME?")</f>
        <v>#NAME?</v>
      </c>
      <c r="E25" s="70" t="str">
        <f>CELL("ADDRESS",zsupermetrics_yKDA3oHGDUToQfWdpDIGFnK1zsGqJ5)&amp;":"&amp;address(row(zsupermetrics_yKDA3oHGDUToQfWdpDIGFnK1zsGqJ5)+rows(zsupermetrics_yKDA3oHGDUToQfWdpDIGFnK1zsGqJ5)-1,column(zsupermetrics_yKDA3oHGDUToQfWdpDIGFnK1zsGqJ5)+COLUMNS(zsupermetrics_yKDA3oHGDUToQfWdpDIGFnK1zsGqJ5)-1)</f>
        <v>#NAME?</v>
      </c>
      <c r="F25" s="71"/>
      <c r="G25" s="78">
        <v>43035.621875</v>
      </c>
      <c r="H25" s="78">
        <v>43035.621875</v>
      </c>
      <c r="I25" s="79" t="s">
        <v>138</v>
      </c>
      <c r="J25" s="80">
        <v>1.509105323283E12</v>
      </c>
      <c r="K25" s="70" t="b">
        <v>0</v>
      </c>
      <c r="L25" s="71"/>
      <c r="M25" s="70" t="s">
        <v>139</v>
      </c>
      <c r="N25" s="71"/>
      <c r="O25" s="70" t="s">
        <v>141</v>
      </c>
      <c r="P25" s="71"/>
      <c r="Q25" s="70" t="s">
        <v>162</v>
      </c>
      <c r="R25" s="71"/>
      <c r="S25" s="71"/>
      <c r="T25" s="70" t="s">
        <v>169</v>
      </c>
      <c r="U25" s="70" t="s">
        <v>170</v>
      </c>
      <c r="V25" s="71"/>
      <c r="W25" s="70"/>
      <c r="X25" s="70" t="s">
        <v>144</v>
      </c>
      <c r="Y25" s="70" t="s">
        <v>177</v>
      </c>
      <c r="Z25" s="70" t="s">
        <v>147</v>
      </c>
      <c r="AA25" s="70" t="s">
        <v>147</v>
      </c>
      <c r="AB25" s="70" t="s">
        <v>178</v>
      </c>
      <c r="AC25" s="71"/>
      <c r="AD25" s="70">
        <v>50.0</v>
      </c>
      <c r="AE25" s="71"/>
      <c r="AF25" s="70" t="s">
        <v>147</v>
      </c>
      <c r="AG25" s="70" t="s">
        <v>149</v>
      </c>
      <c r="AH25" s="71"/>
      <c r="AI25" s="71"/>
      <c r="AJ25" s="71"/>
      <c r="AK25" s="71"/>
      <c r="AL25" s="71"/>
      <c r="AM25" s="71"/>
      <c r="AN25" s="71"/>
      <c r="AO25" s="71"/>
      <c r="AP25" s="81" t="s">
        <v>179</v>
      </c>
      <c r="AQ25" s="71"/>
      <c r="AR25" s="71"/>
      <c r="AS25" s="71"/>
      <c r="AT25" s="71"/>
      <c r="AU25" s="70"/>
      <c r="AV25" s="71"/>
      <c r="AW25" s="71"/>
      <c r="AX25" s="71"/>
    </row>
    <row r="26">
      <c r="A26" s="70"/>
      <c r="B26" s="71"/>
      <c r="C26" s="71"/>
      <c r="D26" s="70" t="str">
        <f>IFERROR(__xludf.DUMMYFUNCTION("ARRAY_CONSTRAIN(split(CELL(""ADDRESS"",zsupermetrics_Wk9OpkHfbIa08VQsgSFGks6won42Al),""!""),1,1)"),"#NAME?")</f>
        <v>#NAME?</v>
      </c>
      <c r="E26" s="70" t="str">
        <f>CELL("ADDRESS",zsupermetrics_Wk9OpkHfbIa08VQsgSFGks6won42Al)&amp;":"&amp;address(row(zsupermetrics_Wk9OpkHfbIa08VQsgSFGks6won42Al)+rows(zsupermetrics_Wk9OpkHfbIa08VQsgSFGks6won42Al)-1,column(zsupermetrics_Wk9OpkHfbIa08VQsgSFGks6won42Al)+COLUMNS(zsupermetrics_Wk9OpkHfbIa08VQsgSFGks6won42Al)-1)</f>
        <v>#NAME?</v>
      </c>
      <c r="F26" s="71"/>
      <c r="G26" s="78">
        <v>43035.62200231481</v>
      </c>
      <c r="H26" s="78">
        <v>43035.62200231481</v>
      </c>
      <c r="I26" s="79" t="s">
        <v>138</v>
      </c>
      <c r="J26" s="80">
        <v>1.509105323283E12</v>
      </c>
      <c r="K26" s="70" t="b">
        <v>0</v>
      </c>
      <c r="L26" s="71"/>
      <c r="M26" s="70" t="s">
        <v>139</v>
      </c>
      <c r="N26" s="71"/>
      <c r="O26" s="70" t="s">
        <v>141</v>
      </c>
      <c r="P26" s="71"/>
      <c r="Q26" s="70" t="s">
        <v>142</v>
      </c>
      <c r="R26" s="71"/>
      <c r="S26" s="71"/>
      <c r="T26" s="71"/>
      <c r="U26" s="71"/>
      <c r="V26" s="71"/>
      <c r="W26" s="70"/>
      <c r="X26" s="70" t="s">
        <v>171</v>
      </c>
      <c r="Y26" s="70" t="s">
        <v>147</v>
      </c>
      <c r="Z26" s="70" t="s">
        <v>146</v>
      </c>
      <c r="AA26" s="70" t="s">
        <v>147</v>
      </c>
      <c r="AB26" s="70" t="s">
        <v>147</v>
      </c>
      <c r="AC26" s="71"/>
      <c r="AD26" s="70">
        <v>10000.0</v>
      </c>
      <c r="AE26" s="70">
        <v>20.0</v>
      </c>
      <c r="AF26" s="70" t="s">
        <v>172</v>
      </c>
      <c r="AG26" s="70" t="s">
        <v>149</v>
      </c>
      <c r="AH26" s="71"/>
      <c r="AI26" s="71"/>
      <c r="AJ26" s="71"/>
      <c r="AK26" s="71"/>
      <c r="AL26" s="71"/>
      <c r="AM26" s="71"/>
      <c r="AN26" s="71"/>
      <c r="AO26" s="71"/>
      <c r="AP26" s="81" t="s">
        <v>187</v>
      </c>
      <c r="AQ26" s="71"/>
      <c r="AR26" s="71"/>
      <c r="AS26" s="71"/>
      <c r="AT26" s="71"/>
      <c r="AU26" s="70"/>
      <c r="AV26" s="71"/>
      <c r="AW26" s="71"/>
      <c r="AX26" s="71"/>
    </row>
    <row r="27">
      <c r="A27" s="70"/>
      <c r="B27" s="71"/>
      <c r="C27" s="71"/>
      <c r="D27" s="70" t="str">
        <f>IFERROR(__xludf.DUMMYFUNCTION("ARRAY_CONSTRAIN(split(CELL(""ADDRESS"",zsupermetrics_RHzJaap6zqV7UDnv9dAjBzi4oZhGqU),""!""),1,1)"),"#NAME?")</f>
        <v>#NAME?</v>
      </c>
      <c r="E27" s="70" t="str">
        <f>CELL("ADDRESS",zsupermetrics_RHzJaap6zqV7UDnv9dAjBzi4oZhGqU)&amp;":"&amp;address(row(zsupermetrics_RHzJaap6zqV7UDnv9dAjBzi4oZhGqU)+rows(zsupermetrics_RHzJaap6zqV7UDnv9dAjBzi4oZhGqU)-1,column(zsupermetrics_RHzJaap6zqV7UDnv9dAjBzi4oZhGqU)+COLUMNS(zsupermetrics_RHzJaap6zqV7UDnv9dAjBzi4oZhGqU)-1)</f>
        <v>#NAME?</v>
      </c>
      <c r="F27" s="71"/>
      <c r="G27" s="78">
        <v>43035.621886574074</v>
      </c>
      <c r="H27" s="78">
        <v>43035.621886574074</v>
      </c>
      <c r="I27" s="79" t="s">
        <v>138</v>
      </c>
      <c r="J27" s="80">
        <v>1.509105323283E12</v>
      </c>
      <c r="K27" s="70" t="b">
        <v>0</v>
      </c>
      <c r="L27" s="71"/>
      <c r="M27" s="70" t="s">
        <v>139</v>
      </c>
      <c r="N27" s="71"/>
      <c r="O27" s="70" t="s">
        <v>141</v>
      </c>
      <c r="P27" s="71"/>
      <c r="Q27" s="70" t="s">
        <v>142</v>
      </c>
      <c r="R27" s="71"/>
      <c r="S27" s="71"/>
      <c r="T27" s="71"/>
      <c r="U27" s="71"/>
      <c r="V27" s="71"/>
      <c r="W27" s="70"/>
      <c r="X27" s="70" t="s">
        <v>144</v>
      </c>
      <c r="Y27" s="70" t="s">
        <v>177</v>
      </c>
      <c r="Z27" s="70" t="s">
        <v>146</v>
      </c>
      <c r="AA27" s="70" t="s">
        <v>147</v>
      </c>
      <c r="AB27" s="70" t="s">
        <v>178</v>
      </c>
      <c r="AC27" s="71"/>
      <c r="AD27" s="70">
        <v>50.0</v>
      </c>
      <c r="AE27" s="70">
        <v>20.0</v>
      </c>
      <c r="AF27" s="70" t="s">
        <v>147</v>
      </c>
      <c r="AG27" s="70" t="s">
        <v>149</v>
      </c>
      <c r="AH27" s="71"/>
      <c r="AI27" s="71"/>
      <c r="AJ27" s="71"/>
      <c r="AK27" s="71"/>
      <c r="AL27" s="71"/>
      <c r="AM27" s="71"/>
      <c r="AN27" s="71"/>
      <c r="AO27" s="71"/>
      <c r="AP27" s="81" t="s">
        <v>192</v>
      </c>
      <c r="AQ27" s="71"/>
      <c r="AR27" s="71"/>
      <c r="AS27" s="71"/>
      <c r="AT27" s="71"/>
      <c r="AU27" s="70"/>
      <c r="AV27" s="71"/>
      <c r="AW27" s="71"/>
      <c r="AX27" s="71"/>
    </row>
    <row r="28">
      <c r="A28" s="70"/>
      <c r="B28" s="71"/>
      <c r="C28" s="71"/>
      <c r="D28" s="70" t="str">
        <f>IFERROR(__xludf.DUMMYFUNCTION("ARRAY_CONSTRAIN(split(CELL(""ADDRESS"",zsupermetrics_GyUODYVVUwewj3oQpSJE7xqTEX7Ggx),""!""),1,1)"),"#NAME?")</f>
        <v>#NAME?</v>
      </c>
      <c r="E28" s="70" t="str">
        <f>CELL("ADDRESS",zsupermetrics_GyUODYVVUwewj3oQpSJE7xqTEX7Ggx)&amp;":"&amp;address(row(zsupermetrics_GyUODYVVUwewj3oQpSJE7xqTEX7Ggx)+rows(zsupermetrics_GyUODYVVUwewj3oQpSJE7xqTEX7Ggx)-1,column(zsupermetrics_GyUODYVVUwewj3oQpSJE7xqTEX7Ggx)+COLUMNS(zsupermetrics_GyUODYVVUwewj3oQpSJE7xqTEX7Ggx)-1)</f>
        <v>#NAME?</v>
      </c>
      <c r="F28" s="71"/>
      <c r="G28" s="78">
        <v>43035.622037037036</v>
      </c>
      <c r="H28" s="78">
        <v>43035.622037037036</v>
      </c>
      <c r="I28" s="79" t="s">
        <v>138</v>
      </c>
      <c r="J28" s="80">
        <v>1.509105323283E12</v>
      </c>
      <c r="K28" s="70" t="b">
        <v>0</v>
      </c>
      <c r="L28" s="71"/>
      <c r="M28" s="70" t="s">
        <v>139</v>
      </c>
      <c r="N28" s="71"/>
      <c r="O28" s="70" t="s">
        <v>141</v>
      </c>
      <c r="P28" s="71"/>
      <c r="Q28" s="70" t="s">
        <v>142</v>
      </c>
      <c r="R28" s="71"/>
      <c r="S28" s="71"/>
      <c r="T28" s="71"/>
      <c r="U28" s="71"/>
      <c r="V28" s="71"/>
      <c r="W28" s="70"/>
      <c r="X28" s="70" t="s">
        <v>144</v>
      </c>
      <c r="Y28" s="70" t="s">
        <v>164</v>
      </c>
      <c r="Z28" s="70" t="s">
        <v>146</v>
      </c>
      <c r="AA28" s="70" t="s">
        <v>147</v>
      </c>
      <c r="AB28" s="70" t="s">
        <v>147</v>
      </c>
      <c r="AC28" s="71"/>
      <c r="AD28" s="70">
        <v>100.0</v>
      </c>
      <c r="AE28" s="70">
        <v>20.0</v>
      </c>
      <c r="AF28" s="70" t="s">
        <v>147</v>
      </c>
      <c r="AG28" s="70" t="s">
        <v>149</v>
      </c>
      <c r="AH28" s="71"/>
      <c r="AI28" s="71"/>
      <c r="AJ28" s="71"/>
      <c r="AK28" s="71"/>
      <c r="AL28" s="71"/>
      <c r="AM28" s="71"/>
      <c r="AN28" s="71"/>
      <c r="AO28" s="71"/>
      <c r="AP28" s="81" t="s">
        <v>195</v>
      </c>
      <c r="AQ28" s="71"/>
      <c r="AR28" s="71"/>
      <c r="AS28" s="71"/>
      <c r="AT28" s="71"/>
      <c r="AU28" s="70"/>
      <c r="AV28" s="71"/>
      <c r="AW28" s="71"/>
      <c r="AX28" s="71"/>
    </row>
    <row r="29">
      <c r="A29" s="70"/>
      <c r="B29" s="71"/>
      <c r="C29" s="71"/>
      <c r="D29" s="70" t="str">
        <f>IFERROR(__xludf.DUMMYFUNCTION("ARRAY_CONSTRAIN(split(CELL(""ADDRESS"",zsupermetrics_1uIP5Fck3SwdBmsjEq8nCC93kef8Z8),""!""),1,1)"),"#NAME?")</f>
        <v>#NAME?</v>
      </c>
      <c r="E29" s="70" t="str">
        <f>CELL("ADDRESS",zsupermetrics_1uIP5Fck3SwdBmsjEq8nCC93kef8Z8)&amp;":"&amp;address(row(zsupermetrics_1uIP5Fck3SwdBmsjEq8nCC93kef8Z8)+rows(zsupermetrics_1uIP5Fck3SwdBmsjEq8nCC93kef8Z8)-1,column(zsupermetrics_1uIP5Fck3SwdBmsjEq8nCC93kef8Z8)+COLUMNS(zsupermetrics_1uIP5Fck3SwdBmsjEq8nCC93kef8Z8)-1)</f>
        <v>#NAME?</v>
      </c>
      <c r="F29" s="71"/>
      <c r="G29" s="78">
        <v>43035.62199074074</v>
      </c>
      <c r="H29" s="78">
        <v>43035.62199074074</v>
      </c>
      <c r="I29" s="79" t="s">
        <v>138</v>
      </c>
      <c r="J29" s="80">
        <v>1.509105323283E12</v>
      </c>
      <c r="K29" s="70" t="b">
        <v>0</v>
      </c>
      <c r="L29" s="71"/>
      <c r="M29" s="70" t="s">
        <v>139</v>
      </c>
      <c r="N29" s="71"/>
      <c r="O29" s="70" t="s">
        <v>141</v>
      </c>
      <c r="P29" s="71"/>
      <c r="Q29" s="70" t="s">
        <v>154</v>
      </c>
      <c r="R29" s="71"/>
      <c r="S29" s="71"/>
      <c r="T29" s="70" t="s">
        <v>169</v>
      </c>
      <c r="U29" s="70" t="s">
        <v>170</v>
      </c>
      <c r="V29" s="71"/>
      <c r="W29" s="70"/>
      <c r="X29" s="70" t="s">
        <v>144</v>
      </c>
      <c r="Y29" s="70" t="s">
        <v>164</v>
      </c>
      <c r="Z29" s="70" t="s">
        <v>147</v>
      </c>
      <c r="AA29" s="70" t="s">
        <v>147</v>
      </c>
      <c r="AB29" s="70" t="s">
        <v>147</v>
      </c>
      <c r="AC29" s="71"/>
      <c r="AD29" s="70">
        <v>10000.0</v>
      </c>
      <c r="AE29" s="80">
        <v>10.0</v>
      </c>
      <c r="AF29" s="70" t="s">
        <v>198</v>
      </c>
      <c r="AG29" s="70" t="s">
        <v>149</v>
      </c>
      <c r="AH29" s="71"/>
      <c r="AI29" s="71"/>
      <c r="AJ29" s="71"/>
      <c r="AK29" s="71"/>
      <c r="AL29" s="71"/>
      <c r="AM29" s="71"/>
      <c r="AN29" s="71"/>
      <c r="AO29" s="71"/>
      <c r="AP29" s="81" t="s">
        <v>199</v>
      </c>
      <c r="AQ29" s="71"/>
      <c r="AR29" s="71"/>
      <c r="AS29" s="71"/>
      <c r="AT29" s="71"/>
      <c r="AU29" s="70"/>
      <c r="AV29" s="71"/>
      <c r="AW29" s="71"/>
      <c r="AX29" s="71"/>
    </row>
  </sheetData>
  <mergeCells count="4">
    <mergeCell ref="A6:G7"/>
    <mergeCell ref="A8:G9"/>
    <mergeCell ref="A10:G11"/>
    <mergeCell ref="A12:G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9.13"/>
    <col customWidth="1" min="4" max="6" width="18.13"/>
    <col customWidth="1" min="7" max="7" width="2.63"/>
    <col customWidth="1" min="8" max="10" width="18.13"/>
    <col customWidth="1" min="11" max="11" width="2.63"/>
    <col customWidth="1" min="12" max="14" width="18.13"/>
    <col customWidth="1" min="15" max="15" width="5.13"/>
  </cols>
  <sheetData>
    <row r="1" ht="20.25" customHeight="1">
      <c r="A1" s="93"/>
      <c r="B1" s="94" t="s">
        <v>9</v>
      </c>
      <c r="C1" s="93"/>
      <c r="D1" s="95" t="s">
        <v>210</v>
      </c>
      <c r="E1" s="93"/>
      <c r="F1" s="93"/>
      <c r="G1" s="96"/>
      <c r="H1" s="96"/>
      <c r="I1" s="96"/>
      <c r="J1" s="93"/>
      <c r="K1" s="96"/>
      <c r="L1" s="96"/>
      <c r="M1" s="96"/>
      <c r="N1" s="97"/>
      <c r="O1" s="97"/>
    </row>
    <row r="2" ht="71.25" customHeight="1">
      <c r="A2" s="98"/>
      <c r="B2" s="99" t="s">
        <v>211</v>
      </c>
      <c r="C2" s="100"/>
      <c r="D2" s="100"/>
      <c r="F2" s="100"/>
      <c r="G2" s="101"/>
      <c r="H2" s="101"/>
      <c r="I2" s="101"/>
      <c r="J2" s="102"/>
      <c r="K2" s="102"/>
      <c r="L2" s="102"/>
      <c r="M2" s="101"/>
      <c r="N2" s="103"/>
      <c r="O2" s="103"/>
    </row>
    <row r="3" ht="22.5" customHeight="1">
      <c r="A3" s="104"/>
      <c r="B3" s="105" t="s">
        <v>212</v>
      </c>
      <c r="C3" s="105"/>
      <c r="D3" s="106"/>
      <c r="E3" s="107"/>
      <c r="F3" s="107"/>
      <c r="G3" s="108"/>
      <c r="H3" s="108"/>
      <c r="I3" s="108"/>
      <c r="J3" s="108"/>
      <c r="K3" s="108"/>
      <c r="L3" s="108"/>
      <c r="M3" s="108"/>
      <c r="N3" s="108"/>
      <c r="O3" s="109"/>
    </row>
    <row r="4" ht="22.5" customHeight="1"/>
    <row r="5" ht="22.5" customHeight="1">
      <c r="A5" s="110"/>
      <c r="B5" s="111" t="s">
        <v>213</v>
      </c>
      <c r="K5" s="112"/>
      <c r="L5" s="112"/>
      <c r="M5" s="112"/>
      <c r="N5" s="112"/>
      <c r="O5" s="113"/>
    </row>
    <row r="6" ht="22.5" customHeight="1">
      <c r="A6" s="110"/>
      <c r="K6" s="114"/>
      <c r="L6" s="114"/>
      <c r="M6" s="115"/>
      <c r="N6" s="115"/>
      <c r="O6" s="116"/>
    </row>
    <row r="7" ht="22.5" customHeight="1">
      <c r="A7" s="110"/>
      <c r="K7" s="117"/>
      <c r="L7" s="117"/>
      <c r="M7" s="117"/>
      <c r="N7" s="117"/>
      <c r="O7" s="118"/>
    </row>
    <row r="8">
      <c r="A8" s="110"/>
      <c r="B8" s="119"/>
      <c r="C8" s="119"/>
      <c r="D8" s="118"/>
      <c r="E8" s="118"/>
      <c r="F8" s="118"/>
      <c r="G8" s="117"/>
      <c r="H8" s="117"/>
      <c r="I8" s="117"/>
      <c r="J8" s="117"/>
      <c r="K8" s="117"/>
      <c r="L8" s="117"/>
      <c r="M8" s="117"/>
      <c r="N8" s="117"/>
      <c r="O8" s="118"/>
    </row>
    <row r="9">
      <c r="A9" s="110"/>
      <c r="B9" s="119"/>
      <c r="C9" s="119"/>
      <c r="D9" s="118"/>
      <c r="E9" s="118"/>
      <c r="F9" s="118"/>
      <c r="G9" s="117"/>
      <c r="H9" s="117"/>
      <c r="I9" s="117"/>
      <c r="J9" s="117"/>
      <c r="K9" s="117"/>
      <c r="L9" s="117"/>
      <c r="M9" s="117"/>
      <c r="N9" s="117"/>
      <c r="O9" s="118"/>
    </row>
    <row r="10" ht="22.5" customHeight="1">
      <c r="A10" s="120"/>
      <c r="B10" s="121" t="str">
        <f>"Report for "&amp;UPPER( TEXT(TODAY()-DAY(TODAY()),"MMMM YYYY"))</f>
        <v>Report for JULY 2026</v>
      </c>
      <c r="C10" s="121"/>
      <c r="D10" s="122"/>
      <c r="E10" s="122"/>
      <c r="F10" s="122"/>
      <c r="G10" s="123"/>
      <c r="H10" s="123"/>
      <c r="I10" s="123"/>
      <c r="J10" s="123"/>
      <c r="K10" s="123"/>
      <c r="L10" s="123"/>
      <c r="M10" s="123"/>
      <c r="N10" s="123"/>
      <c r="O10" s="124"/>
    </row>
    <row r="11">
      <c r="A11" s="125"/>
      <c r="B11" s="110"/>
      <c r="C11" s="110"/>
      <c r="D11" s="110"/>
      <c r="E11" s="110"/>
      <c r="F11" s="110"/>
      <c r="G11" s="126"/>
      <c r="H11" s="126"/>
      <c r="I11" s="126"/>
      <c r="J11" s="110"/>
      <c r="M11" s="110"/>
      <c r="N11" s="110"/>
      <c r="O11" s="118"/>
    </row>
    <row r="12">
      <c r="A12" s="125"/>
      <c r="B12" s="110"/>
      <c r="C12" s="110"/>
      <c r="D12" s="110"/>
      <c r="E12" s="110"/>
      <c r="F12" s="110"/>
      <c r="G12" s="126"/>
      <c r="H12" s="126"/>
      <c r="I12" s="126"/>
      <c r="J12" s="110"/>
      <c r="M12" s="110"/>
      <c r="N12" s="110"/>
      <c r="O12" s="118"/>
    </row>
    <row r="13">
      <c r="A13" s="127"/>
      <c r="B13" s="127"/>
      <c r="C13" s="127"/>
      <c r="D13" s="127"/>
      <c r="E13" s="128"/>
      <c r="F13" s="129"/>
      <c r="G13" s="130"/>
      <c r="H13" s="130"/>
      <c r="I13" s="131" t="s">
        <v>14</v>
      </c>
      <c r="J13" s="131"/>
      <c r="K13" s="131"/>
      <c r="L13" s="131" t="s">
        <v>189</v>
      </c>
      <c r="M13" s="132" t="s">
        <v>214</v>
      </c>
      <c r="N13" s="133"/>
      <c r="O13" s="134"/>
    </row>
    <row r="14" ht="22.5" customHeight="1">
      <c r="A14" s="135"/>
      <c r="B14" s="135"/>
      <c r="C14" s="135"/>
      <c r="D14" s="135"/>
      <c r="E14" s="136"/>
      <c r="F14" s="110"/>
      <c r="G14" s="137"/>
      <c r="H14" s="137"/>
      <c r="I14" s="138" t="s">
        <v>22</v>
      </c>
      <c r="J14" s="139">
        <f>RawData!AA3</f>
        <v>33825</v>
      </c>
      <c r="K14" s="140"/>
      <c r="L14" s="140">
        <f>RawData!AB3</f>
        <v>17.62</v>
      </c>
      <c r="M14" s="141"/>
      <c r="N14" s="142"/>
      <c r="O14" s="110"/>
    </row>
    <row r="15" ht="22.5" customHeight="1">
      <c r="A15" s="135"/>
      <c r="B15" s="135"/>
      <c r="C15" s="135"/>
      <c r="D15" s="135"/>
      <c r="E15" s="136"/>
      <c r="F15" s="110"/>
      <c r="G15" s="143"/>
      <c r="H15" s="143"/>
      <c r="I15" s="144" t="s">
        <v>66</v>
      </c>
      <c r="J15" s="139">
        <f>RawData!AA4</f>
        <v>49694</v>
      </c>
      <c r="K15" s="140"/>
      <c r="L15" s="140">
        <f>RawData!AB4</f>
        <v>20.87</v>
      </c>
      <c r="M15" s="141"/>
      <c r="N15" s="142"/>
      <c r="O15" s="110"/>
    </row>
    <row r="16" ht="22.5" customHeight="1">
      <c r="A16" s="135"/>
      <c r="B16" s="135"/>
      <c r="C16" s="135"/>
      <c r="D16" s="135"/>
      <c r="E16" s="136"/>
      <c r="F16" s="110"/>
      <c r="G16" s="137"/>
      <c r="H16" s="137"/>
      <c r="I16" s="138" t="s">
        <v>23</v>
      </c>
      <c r="J16" s="139">
        <f>RawData!AA5</f>
        <v>61.81</v>
      </c>
      <c r="K16" s="140"/>
      <c r="L16" s="140">
        <f>RawData!AB5</f>
        <v>0.22</v>
      </c>
      <c r="M16" s="141"/>
      <c r="N16" s="142"/>
      <c r="O16" s="110"/>
    </row>
    <row r="17" ht="22.5" customHeight="1">
      <c r="A17" s="135"/>
      <c r="B17" s="135"/>
      <c r="C17" s="135"/>
      <c r="D17" s="135"/>
      <c r="E17" s="136"/>
      <c r="F17" s="110"/>
      <c r="G17" s="137"/>
      <c r="H17" s="137"/>
      <c r="I17" s="138" t="s">
        <v>24</v>
      </c>
      <c r="J17" s="139">
        <f>RawData!AA6</f>
        <v>57.62</v>
      </c>
      <c r="K17" s="140"/>
      <c r="L17" s="140">
        <f>RawData!AB6</f>
        <v>-3.81</v>
      </c>
      <c r="M17" s="141"/>
      <c r="N17" s="142"/>
      <c r="O17" s="110"/>
    </row>
    <row r="18" ht="22.5" customHeight="1">
      <c r="A18" s="135"/>
      <c r="B18" s="135"/>
      <c r="C18" s="135"/>
      <c r="D18" s="135"/>
      <c r="E18" s="136"/>
      <c r="F18" s="110"/>
      <c r="G18" s="137"/>
      <c r="H18" s="137"/>
      <c r="I18" s="138" t="s">
        <v>143</v>
      </c>
      <c r="J18" s="139">
        <f>RawData!AA7</f>
        <v>100358</v>
      </c>
      <c r="K18" s="140"/>
      <c r="L18" s="140">
        <f>RawData!AB7</f>
        <v>23.31</v>
      </c>
      <c r="M18" s="141"/>
      <c r="N18" s="142"/>
      <c r="O18" s="110"/>
    </row>
    <row r="19" ht="22.5" customHeight="1">
      <c r="A19" s="135"/>
      <c r="B19" s="135"/>
      <c r="C19" s="135"/>
      <c r="D19" s="135"/>
      <c r="E19" s="136"/>
      <c r="F19" s="110"/>
      <c r="G19" s="143"/>
      <c r="H19" s="143"/>
      <c r="I19" s="144" t="s">
        <v>215</v>
      </c>
      <c r="J19" s="139">
        <f>RawData!AA8</f>
        <v>1.93</v>
      </c>
      <c r="K19" s="140"/>
      <c r="L19" s="140">
        <f>RawData!AB8</f>
        <v>0.17</v>
      </c>
      <c r="M19" s="141"/>
      <c r="N19" s="142"/>
      <c r="O19" s="145"/>
    </row>
    <row r="20" ht="22.5" customHeight="1">
      <c r="A20" s="135"/>
      <c r="B20" s="135"/>
      <c r="C20" s="135"/>
      <c r="D20" s="135"/>
      <c r="E20" s="136"/>
      <c r="F20" s="110"/>
      <c r="G20" s="137"/>
      <c r="H20" s="137"/>
      <c r="I20" s="138" t="s">
        <v>153</v>
      </c>
      <c r="J20" s="139">
        <f>RawData!AA9</f>
        <v>1475</v>
      </c>
      <c r="K20" s="140"/>
      <c r="L20" s="140">
        <f>RawData!AB9</f>
        <v>1.3</v>
      </c>
      <c r="M20" s="141"/>
      <c r="N20" s="142"/>
      <c r="O20" s="145"/>
    </row>
    <row r="21" ht="22.5" customHeight="1">
      <c r="A21" s="135"/>
      <c r="B21" s="135"/>
      <c r="C21" s="135"/>
      <c r="D21" s="135"/>
      <c r="E21" s="136"/>
      <c r="F21" s="110"/>
      <c r="G21" s="137"/>
      <c r="H21" s="137"/>
      <c r="I21" s="138" t="s">
        <v>161</v>
      </c>
      <c r="J21" s="139">
        <f>RawData!AA10</f>
        <v>249040.36</v>
      </c>
      <c r="K21" s="140"/>
      <c r="L21" s="140">
        <f>RawData!AB10</f>
        <v>-5.22</v>
      </c>
      <c r="M21" s="141"/>
      <c r="N21" s="142"/>
      <c r="O21" s="110"/>
    </row>
    <row r="22">
      <c r="A22" s="135"/>
      <c r="B22" s="135"/>
      <c r="C22" s="135"/>
      <c r="D22" s="135"/>
      <c r="E22" s="136"/>
      <c r="F22" s="110"/>
      <c r="G22" s="146"/>
      <c r="H22" s="146"/>
      <c r="I22" s="146"/>
      <c r="J22" s="146"/>
      <c r="K22" s="146"/>
      <c r="L22" s="146"/>
      <c r="M22" s="146"/>
      <c r="N22" s="146"/>
      <c r="O22" s="110"/>
    </row>
    <row r="23">
      <c r="A23" s="135"/>
      <c r="B23" s="135"/>
      <c r="C23" s="135"/>
      <c r="D23" s="135"/>
      <c r="E23" s="136"/>
      <c r="F23" s="110"/>
      <c r="G23" s="146"/>
      <c r="H23" s="146"/>
      <c r="I23" s="114"/>
      <c r="J23" s="114"/>
      <c r="K23" s="114"/>
      <c r="L23" s="114"/>
      <c r="M23" s="114"/>
      <c r="N23" s="114"/>
      <c r="O23" s="110"/>
    </row>
    <row r="24">
      <c r="A24" s="135"/>
      <c r="B24" s="135"/>
      <c r="C24" s="135"/>
      <c r="D24" s="135"/>
      <c r="E24" s="136"/>
      <c r="F24" s="110"/>
      <c r="G24" s="147"/>
      <c r="H24" s="147"/>
      <c r="I24" s="131" t="s">
        <v>182</v>
      </c>
      <c r="J24" s="131"/>
      <c r="K24" s="131"/>
      <c r="L24" s="131" t="s">
        <v>189</v>
      </c>
      <c r="M24" s="132" t="s">
        <v>214</v>
      </c>
      <c r="N24" s="133"/>
      <c r="O24" s="110"/>
    </row>
    <row r="25" ht="22.5" customHeight="1">
      <c r="A25" s="135"/>
      <c r="B25" s="135"/>
      <c r="C25" s="135"/>
      <c r="D25" s="135"/>
      <c r="E25" s="136"/>
      <c r="F25" s="110"/>
      <c r="G25" s="137"/>
      <c r="H25" s="137"/>
      <c r="I25" s="138" t="s">
        <v>190</v>
      </c>
      <c r="J25" s="139">
        <f t="array" ref="J25">iferror(index(RawData!$AA$15:$AA$18,match($I25,RawData!$Z$15:$Z$18,0)),"")</f>
        <v>9973</v>
      </c>
      <c r="K25" s="139"/>
      <c r="L25" s="139">
        <f t="array" ref="L25">iferror(index(RawData!$AB$15:$AB$18,match($I25,RawData!$Z$15:$Z$18,0)),"")</f>
        <v>21.24</v>
      </c>
      <c r="M25" s="141" t="str">
        <f>IFERROR(__xludf.DUMMYFUNCTION("iferror(sparkline(offset(RawData!AE$14:AP$14,match(I25,RawData!AD$15:AD$18,0),0),{""charttype"",""column"";""empty"",""zero"";""ymin"",0;""lowcolor"",""#D19599"";""highcolor"",""#A1D3A8""}),"""")"),"")</f>
        <v/>
      </c>
      <c r="N25" s="142"/>
      <c r="O25" s="110"/>
    </row>
    <row r="26" ht="22.5" customHeight="1">
      <c r="A26" s="135"/>
      <c r="B26" s="135"/>
      <c r="C26" s="135"/>
      <c r="D26" s="135"/>
      <c r="E26" s="136"/>
      <c r="F26" s="110"/>
      <c r="G26" s="143"/>
      <c r="H26" s="143"/>
      <c r="I26" s="144" t="s">
        <v>216</v>
      </c>
      <c r="J26" s="139">
        <f t="array" ref="J26">iferror(index(RawData!$AA$15:$AA$18,match($I26,RawData!$Z$15:$Z$18,0)),"")</f>
        <v>6322</v>
      </c>
      <c r="K26" s="139"/>
      <c r="L26" s="139">
        <f t="array" ref="L26">iferror(index(RawData!$AB$15:$AB$18,match($I26,RawData!$Z$15:$Z$18,0)),"")</f>
        <v>-4.72</v>
      </c>
      <c r="M26" s="141" t="str">
        <f>IFERROR(__xludf.DUMMYFUNCTION("iferror(sparkline(offset(RawData!AE$14:AP$14,match(I26,RawData!AD$15:AD$18,0),0),{""charttype"",""column"";""empty"",""zero"";""ymin"",0;""lowcolor"",""#D19599"";""highcolor"",""#A1D3A8""}),"""")"),"")</f>
        <v/>
      </c>
      <c r="N26" s="142"/>
      <c r="O26" s="110"/>
    </row>
    <row r="27" ht="22.5" customHeight="1">
      <c r="A27" s="135"/>
      <c r="B27" s="135"/>
      <c r="C27" s="135"/>
      <c r="D27" s="135"/>
      <c r="E27" s="136"/>
      <c r="F27" s="110"/>
      <c r="G27" s="137"/>
      <c r="H27" s="137"/>
      <c r="I27" s="144" t="s">
        <v>217</v>
      </c>
      <c r="J27" s="139">
        <f t="array" ref="J27">iferror(index(RawData!$AA$15:$AA$18,match($I27,RawData!$Z$15:$Z$18,0)),"")</f>
        <v>1405</v>
      </c>
      <c r="K27" s="139"/>
      <c r="L27" s="139">
        <f t="array" ref="L27">iferror(index(RawData!$AB$15:$AB$18,match($I27,RawData!$Z$15:$Z$18,0)),"")</f>
        <v>2.86</v>
      </c>
      <c r="M27" s="141" t="str">
        <f>IFERROR(__xludf.DUMMYFUNCTION("iferror(sparkline(offset(RawData!AE$14:AP$14,match(I27,RawData!AD$15:AD$18,0),0),{""charttype"",""column"";""empty"",""zero"";""ymin"",0;""lowcolor"",""#D19599"";""highcolor"",""#A1D3A8""}),"""")"),"")</f>
        <v/>
      </c>
      <c r="N27" s="142"/>
      <c r="O27" s="110"/>
    </row>
    <row r="28" ht="22.5" customHeight="1">
      <c r="A28" s="135"/>
      <c r="B28" s="116"/>
      <c r="C28" s="116"/>
      <c r="D28" s="135"/>
      <c r="E28" s="136"/>
      <c r="F28" s="110"/>
      <c r="G28" s="143"/>
      <c r="H28" s="143"/>
      <c r="I28" s="144" t="s">
        <v>218</v>
      </c>
      <c r="J28" s="139">
        <f t="array" ref="J28">iferror(index(RawData!$AA$15:$AA$18,match($I28,RawData!$Z$15:$Z$18,0)),"")</f>
        <v>485</v>
      </c>
      <c r="K28" s="139"/>
      <c r="L28" s="139">
        <f t="array" ref="L28">iferror(index(RawData!$AB$15:$AB$18,match($I28,RawData!$Z$15:$Z$18,0)),"")</f>
        <v>-0.21</v>
      </c>
      <c r="M28" s="141" t="str">
        <f>IFERROR(__xludf.DUMMYFUNCTION("iferror(sparkline(offset(RawData!AE$14:AP$14,match(I28,RawData!AD$15:AD$18,0),0),{""charttype"",""column"";""empty"",""zero"";""ymin"",0;""lowcolor"",""#D19599"";""highcolor"",""#A1D3A8""}),"""")"),"")</f>
        <v/>
      </c>
      <c r="N28" s="142"/>
      <c r="O28" s="110"/>
    </row>
    <row r="29">
      <c r="A29" s="148"/>
      <c r="B29" s="149"/>
      <c r="C29" s="149"/>
      <c r="D29" s="149"/>
      <c r="E29" s="150"/>
      <c r="F29" s="151"/>
      <c r="G29" s="151"/>
      <c r="H29" s="151"/>
      <c r="I29" s="151"/>
      <c r="J29" s="151"/>
      <c r="K29" s="151"/>
      <c r="L29" s="151"/>
      <c r="M29" s="151"/>
      <c r="N29" s="151"/>
      <c r="O29" s="110"/>
    </row>
    <row r="30">
      <c r="A30" s="148"/>
      <c r="B30" s="152"/>
      <c r="C30" s="152"/>
      <c r="D30" s="149"/>
      <c r="E30" s="150"/>
      <c r="F30" s="151"/>
      <c r="G30" s="151"/>
      <c r="H30" s="151"/>
      <c r="I30" s="151"/>
      <c r="J30" s="151"/>
      <c r="K30" s="151"/>
      <c r="L30" s="151"/>
      <c r="M30" s="151"/>
      <c r="N30" s="151"/>
      <c r="O30" s="110"/>
    </row>
    <row r="31">
      <c r="A31" s="148"/>
      <c r="B31" s="152"/>
      <c r="C31" s="152"/>
      <c r="D31" s="149"/>
      <c r="E31" s="150"/>
      <c r="F31" s="151"/>
      <c r="G31" s="151"/>
      <c r="H31" s="151"/>
      <c r="I31" s="151"/>
      <c r="J31" s="151"/>
      <c r="K31" s="151"/>
      <c r="L31" s="151"/>
      <c r="M31" s="151"/>
      <c r="N31" s="151"/>
      <c r="O31" s="110"/>
    </row>
    <row r="32" ht="22.5" customHeight="1">
      <c r="A32" s="153"/>
      <c r="B32" s="105" t="s">
        <v>219</v>
      </c>
      <c r="C32" s="154"/>
      <c r="D32" s="106"/>
      <c r="E32" s="107"/>
      <c r="F32" s="107"/>
      <c r="G32" s="108"/>
      <c r="H32" s="108"/>
      <c r="I32" s="108"/>
      <c r="J32" s="108"/>
      <c r="K32" s="108"/>
      <c r="L32" s="108"/>
      <c r="M32" s="108"/>
      <c r="N32" s="108"/>
      <c r="O32" s="104"/>
    </row>
    <row r="33">
      <c r="A33" s="155"/>
      <c r="B33" s="156"/>
      <c r="C33" s="156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10"/>
    </row>
    <row r="34">
      <c r="A34" s="155"/>
      <c r="B34" s="156"/>
      <c r="C34" s="156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10"/>
    </row>
    <row r="35" ht="22.5" customHeight="1">
      <c r="A35" s="157"/>
      <c r="B35" s="131" t="s">
        <v>220</v>
      </c>
      <c r="C35" s="131" t="s">
        <v>19</v>
      </c>
      <c r="D35" s="131"/>
      <c r="E35" s="131" t="s">
        <v>22</v>
      </c>
      <c r="F35" s="158" t="s">
        <v>189</v>
      </c>
      <c r="G35" s="132"/>
      <c r="H35" s="132" t="s">
        <v>214</v>
      </c>
      <c r="I35" s="133"/>
      <c r="J35" s="133"/>
      <c r="K35" s="131"/>
      <c r="L35" s="131" t="s">
        <v>221</v>
      </c>
      <c r="M35" s="131" t="s">
        <v>222</v>
      </c>
      <c r="N35" s="131" t="s">
        <v>223</v>
      </c>
      <c r="O35" s="159"/>
    </row>
    <row r="36" ht="22.5" customHeight="1">
      <c r="A36" s="160"/>
      <c r="B36" s="161">
        <v>1.0</v>
      </c>
      <c r="C36" s="162" t="s">
        <v>57</v>
      </c>
      <c r="D36" s="142"/>
      <c r="E36" s="161">
        <v>12635.0</v>
      </c>
      <c r="F36" s="161">
        <v>26.39</v>
      </c>
      <c r="G36" s="163"/>
      <c r="H36" s="163" t="str">
        <f>IFERROR(__xludf.DUMMYFUNCTION("iferror(sparkline(offset(RawData!C$31:N$31,match(C36,RawData!B$31:B$57,0)-1,0),{""charttype"",""column"";""empty"",""zero"";""ymin"",0;""lowcolor"",""#D19599"";""highcolor"",""#A1D3A8""}),"""")"),"")</f>
        <v/>
      </c>
      <c r="I36" s="142"/>
      <c r="J36" s="142"/>
      <c r="K36" s="144"/>
      <c r="L36" s="164" t="str">
        <f t="array" ref="L36">iferror(index(RawData!R:R,match(C36,RawData!Q:Q,0)),"")</f>
        <v>/blog/article2/</v>
      </c>
      <c r="M36" s="165">
        <f t="array" ref="M36">iferror(index(RawData!X:X,match(C36,RawData!U:U,0)),"")</f>
        <v>47.36</v>
      </c>
      <c r="N36" s="165">
        <f t="array" ref="N36">iferror(index(RawData!W:W,match(C36,RawData!U:U,0)),"")</f>
        <v>52.67</v>
      </c>
      <c r="O36" s="110"/>
    </row>
    <row r="37" ht="22.5" customHeight="1">
      <c r="A37" s="160"/>
      <c r="B37" s="161">
        <v>2.0</v>
      </c>
      <c r="C37" s="162" t="s">
        <v>131</v>
      </c>
      <c r="D37" s="142"/>
      <c r="E37" s="161">
        <v>10284.0</v>
      </c>
      <c r="F37" s="161">
        <v>40.74</v>
      </c>
      <c r="G37" s="163"/>
      <c r="H37" s="163" t="str">
        <f>IFERROR(__xludf.DUMMYFUNCTION("iferror(sparkline(offset(RawData!C$31:N$31,match(C37,RawData!B$31:B$57,0)-1,0),{""charttype"",""column"";""empty"",""zero"";""ymin"",0;""lowcolor"",""#D19599"";""highcolor"",""#A1D3A8""}),"""")"),"")</f>
        <v/>
      </c>
      <c r="I37" s="142"/>
      <c r="J37" s="142"/>
      <c r="K37" s="144"/>
      <c r="L37" s="164" t="str">
        <f t="array" ref="L37">iferror(index(RawData!R:R,match(C37,RawData!Q:Q,0)),"")</f>
        <v>/blog/article2/</v>
      </c>
      <c r="M37" s="165">
        <f t="array" ref="M37">iferror(index(RawData!X:X,match(C37,RawData!U:U,0)),"")</f>
        <v>67.21</v>
      </c>
      <c r="N37" s="165">
        <f t="array" ref="N37">iferror(index(RawData!W:W,match(C37,RawData!U:U,0)),"")</f>
        <v>59.35</v>
      </c>
      <c r="O37" s="110"/>
    </row>
    <row r="38" ht="22.5" customHeight="1">
      <c r="A38" s="160"/>
      <c r="B38" s="161">
        <v>3.0</v>
      </c>
      <c r="C38" s="162" t="s">
        <v>136</v>
      </c>
      <c r="D38" s="142"/>
      <c r="E38" s="161">
        <v>3748.0</v>
      </c>
      <c r="F38" s="161">
        <v>-33.12</v>
      </c>
      <c r="G38" s="163"/>
      <c r="H38" s="163" t="str">
        <f>IFERROR(__xludf.DUMMYFUNCTION("iferror(sparkline(offset(RawData!C$31:N$31,match(C38,RawData!B$31:B$57,0)-1,0),{""charttype"",""column"";""empty"",""zero"";""ymin"",0;""lowcolor"",""#D19599"";""highcolor"",""#A1D3A8""}),"""")"),"")</f>
        <v/>
      </c>
      <c r="I38" s="142"/>
      <c r="J38" s="142"/>
      <c r="K38" s="144"/>
      <c r="L38" s="164" t="str">
        <f t="array" ref="L38">iferror(index(RawData!R:R,match(C38,RawData!Q:Q,0)),"")</f>
        <v>/blog/article1/</v>
      </c>
      <c r="M38" s="165">
        <f t="array" ref="M38">iferror(index(RawData!X:X,match(C38,RawData!U:U,0)),"")</f>
        <v>77.55</v>
      </c>
      <c r="N38" s="165">
        <f t="array" ref="N38">iferror(index(RawData!W:W,match(C38,RawData!U:U,0)),"")</f>
        <v>90.17</v>
      </c>
      <c r="O38" s="110"/>
    </row>
    <row r="39" ht="22.5" customHeight="1">
      <c r="A39" s="160"/>
      <c r="B39" s="161">
        <v>4.0</v>
      </c>
      <c r="C39" s="162" t="s">
        <v>140</v>
      </c>
      <c r="D39" s="142"/>
      <c r="E39" s="161">
        <v>1839.0</v>
      </c>
      <c r="F39" s="161">
        <v>-39.37</v>
      </c>
      <c r="G39" s="163"/>
      <c r="H39" s="163" t="str">
        <f>IFERROR(__xludf.DUMMYFUNCTION("iferror(sparkline(offset(RawData!C$31:N$31,match(C39,RawData!B$31:B$57,0)-1,0),{""charttype"",""column"";""empty"",""zero"";""ymin"",0;""lowcolor"",""#D19599"";""highcolor"",""#A1D3A8""}),"""")"),"")</f>
        <v/>
      </c>
      <c r="I39" s="142"/>
      <c r="J39" s="142"/>
      <c r="K39" s="144"/>
      <c r="L39" s="164" t="str">
        <f t="array" ref="L39">iferror(index(RawData!R:R,match(C39,RawData!Q:Q,0)),"")</f>
        <v>/blog/article4/</v>
      </c>
      <c r="M39" s="165">
        <f t="array" ref="M39">iferror(index(RawData!X:X,match(C39,RawData!U:U,0)),"")</f>
        <v>63.19</v>
      </c>
      <c r="N39" s="165">
        <f t="array" ref="N39">iferror(index(RawData!W:W,match(C39,RawData!U:U,0)),"")</f>
        <v>70</v>
      </c>
      <c r="O39" s="110"/>
    </row>
    <row r="40" ht="22.5" customHeight="1">
      <c r="A40" s="160"/>
      <c r="B40" s="161">
        <v>5.0</v>
      </c>
      <c r="C40" s="162" t="s">
        <v>140</v>
      </c>
      <c r="D40" s="142"/>
      <c r="E40" s="161">
        <v>1546.0</v>
      </c>
      <c r="F40" s="161">
        <v>77200.0</v>
      </c>
      <c r="G40" s="163"/>
      <c r="H40" s="163" t="str">
        <f>IFERROR(__xludf.DUMMYFUNCTION("iferror(sparkline(offset(RawData!C$31:N$31,match(C40,RawData!B$31:B$57,0)-1,0),{""charttype"",""column"";""empty"",""zero"";""ymin"",0;""lowcolor"",""#D19599"";""highcolor"",""#A1D3A8""}),"""")"),"")</f>
        <v/>
      </c>
      <c r="I40" s="142"/>
      <c r="J40" s="142"/>
      <c r="K40" s="144"/>
      <c r="L40" s="164" t="str">
        <f t="array" ref="L40">iferror(index(RawData!R:R,match(C40,RawData!Q:Q,0)),"")</f>
        <v>/blog/article4/</v>
      </c>
      <c r="M40" s="165">
        <f t="array" ref="M40">iferror(index(RawData!X:X,match(C40,RawData!U:U,0)),"")</f>
        <v>63.19</v>
      </c>
      <c r="N40" s="165">
        <f t="array" ref="N40">iferror(index(RawData!W:W,match(C40,RawData!U:U,0)),"")</f>
        <v>70</v>
      </c>
      <c r="O40" s="110"/>
    </row>
    <row r="41" ht="22.5" customHeight="1">
      <c r="A41" s="160"/>
      <c r="B41" s="161">
        <v>6.0</v>
      </c>
      <c r="C41" s="162" t="s">
        <v>140</v>
      </c>
      <c r="D41" s="142"/>
      <c r="E41" s="161">
        <v>1276.0</v>
      </c>
      <c r="F41" s="161"/>
      <c r="G41" s="163"/>
      <c r="H41" s="163" t="str">
        <f>IFERROR(__xludf.DUMMYFUNCTION("iferror(sparkline(offset(RawData!C$31:N$31,match(C41,RawData!B$31:B$57,0)-1,0),{""charttype"",""column"";""empty"",""zero"";""ymin"",0;""lowcolor"",""#D19599"";""highcolor"",""#A1D3A8""}),"""")"),"")</f>
        <v/>
      </c>
      <c r="I41" s="142"/>
      <c r="J41" s="142"/>
      <c r="K41" s="144"/>
      <c r="L41" s="164" t="str">
        <f t="array" ref="L41">iferror(index(RawData!R:R,match(C41,RawData!Q:Q,0)),"")</f>
        <v>/blog/article4/</v>
      </c>
      <c r="M41" s="165">
        <f t="array" ref="M41">iferror(index(RawData!X:X,match(C41,RawData!U:U,0)),"")</f>
        <v>63.19</v>
      </c>
      <c r="N41" s="165">
        <f t="array" ref="N41">iferror(index(RawData!W:W,match(C41,RawData!U:U,0)),"")</f>
        <v>70</v>
      </c>
      <c r="O41" s="110"/>
    </row>
    <row r="42" ht="22.5" customHeight="1">
      <c r="A42" s="160"/>
      <c r="B42" s="161">
        <v>7.0</v>
      </c>
      <c r="C42" s="166" t="s">
        <v>160</v>
      </c>
      <c r="D42" s="142"/>
      <c r="E42" s="161">
        <v>488.0</v>
      </c>
      <c r="F42" s="161">
        <v>29.79</v>
      </c>
      <c r="G42" s="163"/>
      <c r="H42" s="163" t="str">
        <f>IFERROR(__xludf.DUMMYFUNCTION("iferror(sparkline(offset(RawData!C$31:N$31,match(C42,RawData!B$31:B$57,0)-1,0),{""charttype"",""column"";""empty"",""zero"";""ymin"",0;""lowcolor"",""#D19599"";""highcolor"",""#A1D3A8""}),"""")"),"")</f>
        <v/>
      </c>
      <c r="I42" s="142"/>
      <c r="J42" s="142"/>
      <c r="K42" s="144"/>
      <c r="L42" s="164" t="str">
        <f t="array" ref="L42">iferror(index(RawData!R:R,match(C42,RawData!Q:Q,0)),"")</f>
        <v/>
      </c>
      <c r="M42" s="165">
        <f t="array" ref="M42">iferror(index(RawData!X:X,match(C42,RawData!U:U,0)),"")</f>
        <v>59.88</v>
      </c>
      <c r="N42" s="165">
        <f t="array" ref="N42">iferror(index(RawData!W:W,match(C42,RawData!U:U,0)),"")</f>
        <v>87.99</v>
      </c>
      <c r="O42" s="110"/>
    </row>
    <row r="43" ht="22.5" customHeight="1">
      <c r="A43" s="160"/>
      <c r="B43" s="161">
        <v>8.0</v>
      </c>
      <c r="C43" s="166" t="s">
        <v>168</v>
      </c>
      <c r="D43" s="142"/>
      <c r="E43" s="161">
        <v>428.0</v>
      </c>
      <c r="F43" s="161">
        <v>69.17</v>
      </c>
      <c r="G43" s="163"/>
      <c r="H43" s="163" t="str">
        <f>IFERROR(__xludf.DUMMYFUNCTION("iferror(sparkline(offset(RawData!C$31:N$31,match(C43,RawData!B$31:B$57,0)-1,0),{""charttype"",""column"";""empty"",""zero"";""ymin"",0;""lowcolor"",""#D19599"";""highcolor"",""#A1D3A8""}),"""")"),"")</f>
        <v/>
      </c>
      <c r="I43" s="142"/>
      <c r="J43" s="142"/>
      <c r="K43" s="144"/>
      <c r="L43" s="164" t="str">
        <f t="array" ref="L43">iferror(index(RawData!R:R,match(C43,RawData!Q:Q,0)),"")</f>
        <v/>
      </c>
      <c r="M43" s="165">
        <f t="array" ref="M43">iferror(index(RawData!X:X,match(C43,RawData!U:U,0)),"")</f>
        <v>52.59</v>
      </c>
      <c r="N43" s="165">
        <f t="array" ref="N43">iferror(index(RawData!W:W,match(C43,RawData!U:U,0)),"")</f>
        <v>78.18</v>
      </c>
      <c r="O43" s="110"/>
    </row>
    <row r="44" ht="22.5" customHeight="1">
      <c r="A44" s="160"/>
      <c r="B44" s="161">
        <v>9.0</v>
      </c>
      <c r="C44" s="162" t="s">
        <v>176</v>
      </c>
      <c r="D44" s="142"/>
      <c r="E44" s="161">
        <v>359.0</v>
      </c>
      <c r="F44" s="161">
        <v>-43.46</v>
      </c>
      <c r="G44" s="163"/>
      <c r="H44" s="163" t="str">
        <f>IFERROR(__xludf.DUMMYFUNCTION("iferror(sparkline(offset(RawData!C$31:N$31,match(C44,RawData!B$31:B$57,0)-1,0),{""charttype"",""column"";""empty"",""zero"";""ymin"",0;""lowcolor"",""#D19599"";""highcolor"",""#A1D3A8""}),"""")"),"")</f>
        <v/>
      </c>
      <c r="I44" s="142"/>
      <c r="J44" s="142"/>
      <c r="K44" s="144"/>
      <c r="L44" s="164" t="str">
        <f t="array" ref="L44">iferror(index(RawData!R:R,match(C44,RawData!Q:Q,0)),"")</f>
        <v>/blog/article4/</v>
      </c>
      <c r="M44" s="165">
        <f t="array" ref="M44">iferror(index(RawData!X:X,match(C44,RawData!U:U,0)),"")</f>
        <v>69.98</v>
      </c>
      <c r="N44" s="165">
        <f t="array" ref="N44">iferror(index(RawData!W:W,match(C44,RawData!U:U,0)),"")</f>
        <v>86.18</v>
      </c>
      <c r="O44" s="110"/>
    </row>
    <row r="45" ht="22.5" customHeight="1">
      <c r="A45" s="160"/>
      <c r="B45" s="161">
        <v>10.0</v>
      </c>
      <c r="C45" s="166" t="s">
        <v>181</v>
      </c>
      <c r="D45" s="142"/>
      <c r="E45" s="161">
        <v>356.0</v>
      </c>
      <c r="F45" s="161">
        <v>102.27</v>
      </c>
      <c r="G45" s="163"/>
      <c r="H45" s="163" t="str">
        <f>IFERROR(__xludf.DUMMYFUNCTION("iferror(sparkline(offset(RawData!C$31:N$31,match(C45,RawData!B$31:B$57,0)-1,0),{""charttype"",""column"";""empty"",""zero"";""ymin"",0;""lowcolor"",""#D19599"";""highcolor"",""#A1D3A8""}),"""")"),"")</f>
        <v/>
      </c>
      <c r="I45" s="142"/>
      <c r="J45" s="142"/>
      <c r="K45" s="144"/>
      <c r="L45" s="164" t="str">
        <f t="array" ref="L45">iferror(index(RawData!R:R,match(C45,RawData!Q:Q,0)),"")</f>
        <v>/blog/article3/</v>
      </c>
      <c r="M45" s="165">
        <f t="array" ref="M45">iferror(index(RawData!X:X,match(C45,RawData!U:U,0)),"")</f>
        <v>64.85</v>
      </c>
      <c r="N45" s="165">
        <f t="array" ref="N45">iferror(index(RawData!W:W,match(C45,RawData!U:U,0)),"")</f>
        <v>73.24</v>
      </c>
      <c r="O45" s="110"/>
    </row>
    <row r="46" ht="22.5" customHeight="1">
      <c r="A46" s="160"/>
      <c r="B46" s="161">
        <v>11.0</v>
      </c>
      <c r="C46" s="162" t="s">
        <v>186</v>
      </c>
      <c r="D46" s="142"/>
      <c r="E46" s="161">
        <v>333.0</v>
      </c>
      <c r="F46" s="161">
        <v>31.62</v>
      </c>
      <c r="G46" s="163"/>
      <c r="H46" s="163" t="str">
        <f>IFERROR(__xludf.DUMMYFUNCTION("iferror(sparkline(offset(RawData!C$31:N$31,match(C46,RawData!B$31:B$57,0)-1,0),{""charttype"",""column"";""empty"",""zero"";""ymin"",0;""lowcolor"",""#D19599"";""highcolor"",""#A1D3A8""}),"""")"),"")</f>
        <v/>
      </c>
      <c r="I46" s="142"/>
      <c r="J46" s="142"/>
      <c r="K46" s="144"/>
      <c r="L46" s="164" t="str">
        <f t="array" ref="L46">iferror(index(RawData!R:R,match(C46,RawData!Q:Q,0)),"")</f>
        <v/>
      </c>
      <c r="M46" s="165">
        <f t="array" ref="M46">iferror(index(RawData!X:X,match(C46,RawData!U:U,0)),"")</f>
        <v>90.25</v>
      </c>
      <c r="N46" s="165">
        <f t="array" ref="N46">iferror(index(RawData!W:W,match(C46,RawData!U:U,0)),"")</f>
        <v>78.27</v>
      </c>
      <c r="O46" s="110"/>
    </row>
    <row r="47" ht="22.5" customHeight="1">
      <c r="A47" s="160"/>
      <c r="B47" s="161">
        <v>12.0</v>
      </c>
      <c r="C47" s="162" t="s">
        <v>186</v>
      </c>
      <c r="D47" s="142"/>
      <c r="E47" s="161">
        <v>229.0</v>
      </c>
      <c r="F47" s="161">
        <v>-1.29</v>
      </c>
      <c r="G47" s="163"/>
      <c r="H47" s="163" t="str">
        <f>IFERROR(__xludf.DUMMYFUNCTION("iferror(sparkline(offset(RawData!C$31:N$31,match(C47,RawData!B$31:B$57,0)-1,0),{""charttype"",""column"";""empty"",""zero"";""ymin"",0;""lowcolor"",""#D19599"";""highcolor"",""#A1D3A8""}),"""")"),"")</f>
        <v/>
      </c>
      <c r="I47" s="142"/>
      <c r="J47" s="142"/>
      <c r="K47" s="144"/>
      <c r="L47" s="164" t="str">
        <f t="array" ref="L47">iferror(index(RawData!R:R,match(C47,RawData!Q:Q,0)),"")</f>
        <v/>
      </c>
      <c r="M47" s="165">
        <f t="array" ref="M47">iferror(index(RawData!X:X,match(C47,RawData!U:U,0)),"")</f>
        <v>90.25</v>
      </c>
      <c r="N47" s="165">
        <f t="array" ref="N47">iferror(index(RawData!W:W,match(C47,RawData!U:U,0)),"")</f>
        <v>78.27</v>
      </c>
      <c r="O47" s="110"/>
    </row>
    <row r="48" ht="22.5" customHeight="1">
      <c r="A48" s="160"/>
      <c r="B48" s="161">
        <v>13.0</v>
      </c>
      <c r="C48" s="166" t="s">
        <v>181</v>
      </c>
      <c r="D48" s="142"/>
      <c r="E48" s="161">
        <v>227.0</v>
      </c>
      <c r="F48" s="161">
        <v>22.7</v>
      </c>
      <c r="G48" s="163"/>
      <c r="H48" s="163" t="str">
        <f>IFERROR(__xludf.DUMMYFUNCTION("iferror(sparkline(offset(RawData!C$31:N$31,match(C48,RawData!B$31:B$57,0)-1,0),{""charttype"",""column"";""empty"",""zero"";""ymin"",0;""lowcolor"",""#D19599"";""highcolor"",""#A1D3A8""}),"""")"),"")</f>
        <v/>
      </c>
      <c r="I48" s="142"/>
      <c r="J48" s="142"/>
      <c r="K48" s="144"/>
      <c r="L48" s="164" t="str">
        <f t="array" ref="L48">iferror(index(RawData!R:R,match(C48,RawData!Q:Q,0)),"")</f>
        <v>/blog/article3/</v>
      </c>
      <c r="M48" s="165">
        <f t="array" ref="M48">iferror(index(RawData!X:X,match(C48,RawData!U:U,0)),"")</f>
        <v>64.85</v>
      </c>
      <c r="N48" s="165">
        <f t="array" ref="N48">iferror(index(RawData!W:W,match(C48,RawData!U:U,0)),"")</f>
        <v>73.24</v>
      </c>
      <c r="O48" s="110"/>
    </row>
    <row r="49" ht="22.5" customHeight="1">
      <c r="A49" s="160"/>
      <c r="B49" s="161">
        <v>14.0</v>
      </c>
      <c r="C49" s="166" t="s">
        <v>196</v>
      </c>
      <c r="D49" s="142"/>
      <c r="E49" s="161">
        <v>227.0</v>
      </c>
      <c r="F49" s="161">
        <v>8.61</v>
      </c>
      <c r="G49" s="163"/>
      <c r="H49" s="163" t="str">
        <f>IFERROR(__xludf.DUMMYFUNCTION("iferror(sparkline(offset(RawData!C$31:N$31,match(C49,RawData!B$31:B$57,0)-1,0),{""charttype"",""column"";""empty"",""zero"";""ymin"",0;""lowcolor"",""#D19599"";""highcolor"",""#A1D3A8""}),"""")"),"")</f>
        <v/>
      </c>
      <c r="I49" s="142"/>
      <c r="J49" s="142"/>
      <c r="K49" s="144"/>
      <c r="L49" s="164" t="str">
        <f t="array" ref="L49">iferror(index(RawData!R:R,match(C49,RawData!Q:Q,0)),"")</f>
        <v/>
      </c>
      <c r="M49" s="165">
        <f t="array" ref="M49">iferror(index(RawData!X:X,match(C49,RawData!U:U,0)),"")</f>
        <v>71.27</v>
      </c>
      <c r="N49" s="165">
        <f t="array" ref="N49">iferror(index(RawData!W:W,match(C49,RawData!U:U,0)),"")</f>
        <v>74.63</v>
      </c>
      <c r="O49" s="110"/>
    </row>
    <row r="50" ht="22.5" customHeight="1">
      <c r="A50" s="160"/>
      <c r="B50" s="161">
        <v>15.0</v>
      </c>
      <c r="C50" s="166" t="s">
        <v>200</v>
      </c>
      <c r="D50" s="142"/>
      <c r="E50" s="161">
        <v>225.0</v>
      </c>
      <c r="F50" s="161">
        <v>-61.21</v>
      </c>
      <c r="G50" s="163"/>
      <c r="H50" s="163" t="str">
        <f>IFERROR(__xludf.DUMMYFUNCTION("iferror(sparkline(offset(RawData!C$31:N$31,match(C50,RawData!B$31:B$57,0)-1,0),{""charttype"",""column"";""empty"",""zero"";""ymin"",0;""lowcolor"",""#D19599"";""highcolor"",""#A1D3A8""}),"""")"),"")</f>
        <v/>
      </c>
      <c r="I50" s="142"/>
      <c r="J50" s="142"/>
      <c r="K50" s="144"/>
      <c r="L50" s="164" t="str">
        <f t="array" ref="L50">iferror(index(RawData!R:R,match(C50,RawData!Q:Q,0)),"")</f>
        <v/>
      </c>
      <c r="M50" s="165">
        <f t="array" ref="M50">iferror(index(RawData!X:X,match(C50,RawData!U:U,0)),"")</f>
        <v>43.88</v>
      </c>
      <c r="N50" s="165">
        <f t="array" ref="N50">iferror(index(RawData!W:W,match(C50,RawData!U:U,0)),"")</f>
        <v>73.81</v>
      </c>
      <c r="O50" s="110"/>
    </row>
    <row r="51" ht="22.5" customHeight="1">
      <c r="A51" s="160"/>
      <c r="B51" s="161">
        <v>16.0</v>
      </c>
      <c r="C51" s="166" t="s">
        <v>168</v>
      </c>
      <c r="D51" s="142"/>
      <c r="E51" s="161">
        <v>159.0</v>
      </c>
      <c r="F51" s="161">
        <v>318.42</v>
      </c>
      <c r="G51" s="163"/>
      <c r="H51" s="163" t="str">
        <f>IFERROR(__xludf.DUMMYFUNCTION("iferror(sparkline(offset(RawData!C$31:N$31,match(C51,RawData!B$31:B$57,0)-1,0),{""charttype"",""column"";""empty"",""zero"";""ymin"",0;""lowcolor"",""#D19599"";""highcolor"",""#A1D3A8""}),"""")"),"")</f>
        <v/>
      </c>
      <c r="I51" s="142"/>
      <c r="J51" s="142"/>
      <c r="K51" s="144"/>
      <c r="L51" s="164" t="str">
        <f t="array" ref="L51">iferror(index(RawData!R:R,match(C51,RawData!Q:Q,0)),"")</f>
        <v/>
      </c>
      <c r="M51" s="165">
        <f t="array" ref="M51">iferror(index(RawData!X:X,match(C51,RawData!U:U,0)),"")</f>
        <v>52.59</v>
      </c>
      <c r="N51" s="165">
        <f t="array" ref="N51">iferror(index(RawData!W:W,match(C51,RawData!U:U,0)),"")</f>
        <v>78.18</v>
      </c>
      <c r="O51" s="110"/>
    </row>
    <row r="52" ht="22.5" customHeight="1">
      <c r="A52" s="160"/>
      <c r="B52" s="161">
        <v>17.0</v>
      </c>
      <c r="C52" s="166" t="s">
        <v>168</v>
      </c>
      <c r="D52" s="142"/>
      <c r="E52" s="161">
        <v>131.0</v>
      </c>
      <c r="F52" s="161">
        <v>45.56</v>
      </c>
      <c r="G52" s="163"/>
      <c r="H52" s="163" t="str">
        <f>IFERROR(__xludf.DUMMYFUNCTION("iferror(sparkline(offset(RawData!C$31:N$31,match(C52,RawData!B$31:B$57,0)-1,0),{""charttype"",""column"";""empty"",""zero"";""ymin"",0;""lowcolor"",""#D19599"";""highcolor"",""#A1D3A8""}),"""")"),"")</f>
        <v/>
      </c>
      <c r="I52" s="142"/>
      <c r="J52" s="142"/>
      <c r="K52" s="144"/>
      <c r="L52" s="164" t="str">
        <f t="array" ref="L52">iferror(index(RawData!R:R,match(C52,RawData!Q:Q,0)),"")</f>
        <v/>
      </c>
      <c r="M52" s="165">
        <f t="array" ref="M52">iferror(index(RawData!X:X,match(C52,RawData!U:U,0)),"")</f>
        <v>52.59</v>
      </c>
      <c r="N52" s="165">
        <f t="array" ref="N52">iferror(index(RawData!W:W,match(C52,RawData!U:U,0)),"")</f>
        <v>78.18</v>
      </c>
      <c r="O52" s="110"/>
    </row>
    <row r="53" ht="22.5" customHeight="1">
      <c r="A53" s="160"/>
      <c r="B53" s="161">
        <v>18.0</v>
      </c>
      <c r="C53" s="166" t="s">
        <v>168</v>
      </c>
      <c r="D53" s="142"/>
      <c r="E53" s="161">
        <v>117.0</v>
      </c>
      <c r="F53" s="161">
        <v>134.0</v>
      </c>
      <c r="G53" s="163"/>
      <c r="H53" s="163" t="str">
        <f>IFERROR(__xludf.DUMMYFUNCTION("iferror(sparkline(offset(RawData!C$31:N$31,match(C53,RawData!B$31:B$57,0)-1,0),{""charttype"",""column"";""empty"",""zero"";""ymin"",0;""lowcolor"",""#D19599"";""highcolor"",""#A1D3A8""}),"""")"),"")</f>
        <v/>
      </c>
      <c r="I53" s="142"/>
      <c r="J53" s="142"/>
      <c r="K53" s="144"/>
      <c r="L53" s="164" t="str">
        <f t="array" ref="L53">iferror(index(RawData!R:R,match(C53,RawData!Q:Q,0)),"")</f>
        <v/>
      </c>
      <c r="M53" s="165">
        <f t="array" ref="M53">iferror(index(RawData!X:X,match(C53,RawData!U:U,0)),"")</f>
        <v>52.59</v>
      </c>
      <c r="N53" s="165">
        <f t="array" ref="N53">iferror(index(RawData!W:W,match(C53,RawData!U:U,0)),"")</f>
        <v>78.18</v>
      </c>
      <c r="O53" s="110"/>
    </row>
    <row r="54" ht="22.5" customHeight="1">
      <c r="A54" s="160"/>
      <c r="B54" s="161">
        <v>19.0</v>
      </c>
      <c r="C54" s="166" t="s">
        <v>168</v>
      </c>
      <c r="D54" s="142"/>
      <c r="E54" s="161">
        <v>99.0</v>
      </c>
      <c r="F54" s="161">
        <v>-25.56</v>
      </c>
      <c r="G54" s="163"/>
      <c r="H54" s="163" t="str">
        <f>IFERROR(__xludf.DUMMYFUNCTION("iferror(sparkline(offset(RawData!C$31:N$31,match(C54,RawData!B$31:B$57,0)-1,0),{""charttype"",""column"";""empty"",""zero"";""ymin"",0;""lowcolor"",""#D19599"";""highcolor"",""#A1D3A8""}),"""")"),"")</f>
        <v/>
      </c>
      <c r="I54" s="142"/>
      <c r="J54" s="142"/>
      <c r="K54" s="144"/>
      <c r="L54" s="164" t="str">
        <f t="array" ref="L54">iferror(index(RawData!R:R,match(C54,RawData!Q:Q,0)),"")</f>
        <v/>
      </c>
      <c r="M54" s="165">
        <f t="array" ref="M54">iferror(index(RawData!X:X,match(C54,RawData!U:U,0)),"")</f>
        <v>52.59</v>
      </c>
      <c r="N54" s="165">
        <f t="array" ref="N54">iferror(index(RawData!W:W,match(C54,RawData!U:U,0)),"")</f>
        <v>78.18</v>
      </c>
      <c r="O54" s="110"/>
    </row>
    <row r="55" ht="22.5" customHeight="1">
      <c r="A55" s="160"/>
      <c r="B55" s="161">
        <v>20.0</v>
      </c>
      <c r="C55" s="166" t="s">
        <v>168</v>
      </c>
      <c r="D55" s="142"/>
      <c r="E55" s="161">
        <v>91.0</v>
      </c>
      <c r="F55" s="161">
        <v>78.43</v>
      </c>
      <c r="G55" s="163"/>
      <c r="H55" s="163" t="str">
        <f>IFERROR(__xludf.DUMMYFUNCTION("iferror(sparkline(offset(RawData!C$31:N$31,match(C55,RawData!B$31:B$57,0)-1,0),{""charttype"",""column"";""empty"",""zero"";""ymin"",0;""lowcolor"",""#D19599"";""highcolor"",""#A1D3A8""}),"""")"),"")</f>
        <v/>
      </c>
      <c r="I55" s="142"/>
      <c r="J55" s="142"/>
      <c r="K55" s="144"/>
      <c r="L55" s="164" t="str">
        <f t="array" ref="L55">iferror(index(RawData!R:R,match(C55,RawData!Q:Q,0)),"")</f>
        <v/>
      </c>
      <c r="M55" s="165">
        <f t="array" ref="M55">iferror(index(RawData!X:X,match(C55,RawData!U:U,0)),"")</f>
        <v>52.59</v>
      </c>
      <c r="N55" s="165">
        <f t="array" ref="N55">iferror(index(RawData!W:W,match(C55,RawData!U:U,0)),"")</f>
        <v>78.18</v>
      </c>
      <c r="O55" s="110"/>
    </row>
    <row r="56">
      <c r="A56" s="167"/>
      <c r="B56" s="168"/>
      <c r="C56" s="168"/>
      <c r="D56" s="169"/>
      <c r="E56" s="167"/>
      <c r="F56" s="167"/>
      <c r="G56" s="167"/>
      <c r="H56" s="167"/>
      <c r="I56" s="125"/>
      <c r="J56" s="170"/>
      <c r="K56" s="167"/>
      <c r="L56" s="167"/>
      <c r="M56" s="125"/>
      <c r="N56" s="110"/>
      <c r="O56" s="110"/>
    </row>
    <row r="57">
      <c r="A57" s="135"/>
      <c r="B57" s="171"/>
      <c r="C57" s="171"/>
      <c r="D57" s="172"/>
      <c r="E57" s="135"/>
      <c r="F57" s="135"/>
      <c r="G57" s="135"/>
      <c r="H57" s="135"/>
      <c r="I57" s="136"/>
      <c r="J57" s="173"/>
      <c r="K57" s="135"/>
      <c r="L57" s="135"/>
      <c r="M57" s="136"/>
      <c r="N57" s="110"/>
      <c r="O57" s="110"/>
    </row>
  </sheetData>
  <mergeCells count="58">
    <mergeCell ref="H53:J53"/>
    <mergeCell ref="H54:J54"/>
    <mergeCell ref="I56:J56"/>
    <mergeCell ref="I57:J57"/>
    <mergeCell ref="H46:J46"/>
    <mergeCell ref="H47:J47"/>
    <mergeCell ref="H48:J48"/>
    <mergeCell ref="H49:J49"/>
    <mergeCell ref="H50:J50"/>
    <mergeCell ref="H51:J51"/>
    <mergeCell ref="H52:J52"/>
    <mergeCell ref="B5:I7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4:N24"/>
    <mergeCell ref="M25:N25"/>
    <mergeCell ref="M26:N26"/>
    <mergeCell ref="M27:N27"/>
    <mergeCell ref="M28:N28"/>
    <mergeCell ref="H35:J35"/>
    <mergeCell ref="C36:D36"/>
    <mergeCell ref="H36:J36"/>
    <mergeCell ref="C37:D37"/>
    <mergeCell ref="H37:J37"/>
    <mergeCell ref="H38:J38"/>
    <mergeCell ref="C38:D38"/>
    <mergeCell ref="C39:D39"/>
    <mergeCell ref="C40:D40"/>
    <mergeCell ref="C41:D41"/>
    <mergeCell ref="C42:D42"/>
    <mergeCell ref="C43:D43"/>
    <mergeCell ref="C44:D44"/>
    <mergeCell ref="H39:J39"/>
    <mergeCell ref="H40:J40"/>
    <mergeCell ref="H41:J41"/>
    <mergeCell ref="H42:J42"/>
    <mergeCell ref="H43:J43"/>
    <mergeCell ref="H44:J44"/>
    <mergeCell ref="H45:J45"/>
    <mergeCell ref="C52:D52"/>
    <mergeCell ref="C53:D53"/>
    <mergeCell ref="C54:D54"/>
    <mergeCell ref="C55:D55"/>
    <mergeCell ref="H55:J55"/>
    <mergeCell ref="C45:D45"/>
    <mergeCell ref="C46:D46"/>
    <mergeCell ref="C47:D47"/>
    <mergeCell ref="C48:D48"/>
    <mergeCell ref="C49:D49"/>
    <mergeCell ref="C50:D50"/>
    <mergeCell ref="C51:D51"/>
  </mergeCells>
  <conditionalFormatting sqref="M36:M5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36:N55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K14:L21">
    <cfRule type="colorScale" priority="3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F36:F5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5:L28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display="See instructions on the last tab" location="Instructions!A1" ref="D1"/>
    <hyperlink r:id="rId1" ref="C42"/>
    <hyperlink r:id="rId2" ref="C43"/>
    <hyperlink r:id="rId3" ref="C45"/>
    <hyperlink r:id="rId4" ref="C48"/>
    <hyperlink r:id="rId5" ref="C49"/>
    <hyperlink r:id="rId6" ref="C50"/>
    <hyperlink r:id="rId7" ref="C51"/>
    <hyperlink r:id="rId8" ref="C52"/>
    <hyperlink r:id="rId9" ref="C53"/>
    <hyperlink r:id="rId10" ref="C54"/>
    <hyperlink r:id="rId11" ref="C55"/>
  </hyperlinks>
  <drawing r:id="rId12"/>
  <extLst>
    <ext uri="{05C60535-1F16-4fd2-B633-F4F36F0B64E0}">
      <x14:sparklineGroups>
        <x14:sparklineGroup manualMin="0.0" type="column" high="1" low="1" minAxisType="custom">
          <x14:colorSeries rgb="FFCCCCCC"/>
          <x14:colorHigh rgb="FFA1D3A8"/>
          <x14:colorLow rgb="FFD19599"/>
          <x14:sparklines>
            <x14:sparkline>
              <xm:f>RawData!AE4:AP4</xm:f>
              <xm:sqref>M14</xm:sqref>
            </x14:sparkline>
          </x14:sparklines>
        </x14:sparklineGroup>
        <x14:sparklineGroup manualMin="0.0" type="column" high="1" low="1" minAxisType="custom">
          <x14:colorSeries rgb="FFCCCCCC"/>
          <x14:colorHigh rgb="FFA1D3A8"/>
          <x14:colorLow rgb="FFD19599"/>
          <x14:sparklines>
            <x14:sparkline>
              <xm:f>RawData!AE5:AP5</xm:f>
              <xm:sqref>M15</xm:sqref>
            </x14:sparkline>
          </x14:sparklines>
        </x14:sparklineGroup>
        <x14:sparklineGroup manualMin="0.0" type="column" high="1" low="1" minAxisType="custom">
          <x14:colorSeries rgb="FFCCCCCC"/>
          <x14:colorHigh rgb="FFA1D3A8"/>
          <x14:colorLow rgb="FFD19599"/>
          <x14:sparklines>
            <x14:sparkline>
              <xm:f>RawData!AE6:AP6</xm:f>
              <xm:sqref>M16</xm:sqref>
            </x14:sparkline>
          </x14:sparklines>
        </x14:sparklineGroup>
        <x14:sparklineGroup manualMin="0.0" type="column" high="1" low="1" minAxisType="custom">
          <x14:colorSeries rgb="FFCCCCCC"/>
          <x14:colorHigh rgb="FFA1D3A8"/>
          <x14:colorLow rgb="FFD19599"/>
          <x14:sparklines>
            <x14:sparkline>
              <xm:f>RawData!AE7:AP7</xm:f>
              <xm:sqref>M17</xm:sqref>
            </x14:sparkline>
          </x14:sparklines>
        </x14:sparklineGroup>
        <x14:sparklineGroup manualMin="0.0" type="column" high="1" low="1" minAxisType="custom">
          <x14:colorSeries rgb="FFCCCCCC"/>
          <x14:colorHigh rgb="FFA1D3A8"/>
          <x14:colorLow rgb="FFD19599"/>
          <x14:sparklines>
            <x14:sparkline>
              <xm:f>RawData!AE8:AP8</xm:f>
              <xm:sqref>M18</xm:sqref>
            </x14:sparkline>
          </x14:sparklines>
        </x14:sparklineGroup>
        <x14:sparklineGroup manualMin="0.0" type="column" high="1" low="1" minAxisType="custom">
          <x14:colorSeries rgb="FFCCCCCC"/>
          <x14:colorHigh rgb="FFA1D3A8"/>
          <x14:colorLow rgb="FFD19599"/>
          <x14:sparklines>
            <x14:sparkline>
              <xm:f>RawData!AE9:AP9</xm:f>
              <xm:sqref>M19</xm:sqref>
            </x14:sparkline>
          </x14:sparklines>
        </x14:sparklineGroup>
        <x14:sparklineGroup manualMin="0.0" type="column" high="1" low="1" minAxisType="custom">
          <x14:colorSeries rgb="FFCCCCCC"/>
          <x14:colorHigh rgb="FFA1D3A8"/>
          <x14:colorLow rgb="FFD19599"/>
          <x14:sparklines>
            <x14:sparkline>
              <xm:f>RawData!AE10:AP10</xm:f>
              <xm:sqref>M20</xm:sqref>
            </x14:sparkline>
          </x14:sparklines>
        </x14:sparklineGroup>
        <x14:sparklineGroup manualMin="0.0" type="column" high="1" low="1" minAxisType="custom">
          <x14:colorSeries rgb="FFCCCCCC"/>
          <x14:colorHigh rgb="FFA1D3A8"/>
          <x14:colorLow rgb="FFD19599"/>
          <x14:sparklines>
            <x14:sparkline>
              <xm:f>RawData!AE11:AP11</xm:f>
              <xm:sqref>M21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5.25"/>
    <col customWidth="1" min="18" max="18" width="21.5"/>
    <col customWidth="1" min="24" max="24" width="13.88"/>
    <col customWidth="1" min="26" max="26" width="19.13"/>
    <col customWidth="1" min="30" max="30" width="19.5"/>
  </cols>
  <sheetData>
    <row r="1" ht="31.5" customHeight="1">
      <c r="A1" s="1"/>
      <c r="B1" s="4" t="s">
        <v>1</v>
      </c>
      <c r="C1" s="7"/>
      <c r="D1" s="9"/>
      <c r="E1" s="1"/>
      <c r="F1" s="1"/>
      <c r="G1" s="12" t="s">
        <v>5</v>
      </c>
      <c r="H1" s="14"/>
      <c r="I1" s="1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18.0" customHeight="1">
      <c r="A2" s="1"/>
      <c r="E2" s="31"/>
      <c r="F2" s="31"/>
      <c r="J2" s="31"/>
      <c r="K2" s="31"/>
      <c r="L2" s="31"/>
      <c r="M2" s="31"/>
      <c r="N2" s="31"/>
      <c r="O2" s="1"/>
      <c r="P2" s="1"/>
      <c r="Q2" s="35" t="s">
        <v>10</v>
      </c>
      <c r="R2" s="37"/>
      <c r="S2" s="37"/>
      <c r="T2" s="1"/>
      <c r="U2" s="35" t="s">
        <v>13</v>
      </c>
      <c r="V2" s="37"/>
      <c r="W2" s="37"/>
      <c r="X2" s="37"/>
      <c r="Y2" s="1"/>
      <c r="Z2" s="38" t="s">
        <v>14</v>
      </c>
      <c r="AA2" s="40"/>
      <c r="AB2" s="40"/>
      <c r="AC2" s="1"/>
      <c r="AD2" s="38" t="s">
        <v>16</v>
      </c>
      <c r="AE2" s="40"/>
      <c r="AF2" s="40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1"/>
      <c r="AR2" s="1"/>
    </row>
    <row r="3">
      <c r="A3" s="1"/>
      <c r="B3" s="38" t="s">
        <v>17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1"/>
      <c r="P3" s="1"/>
      <c r="Q3" s="43" t="s">
        <v>19</v>
      </c>
      <c r="R3" s="43" t="s">
        <v>20</v>
      </c>
      <c r="S3" s="43" t="s">
        <v>21</v>
      </c>
      <c r="T3" s="1"/>
      <c r="U3" s="45" t="s">
        <v>19</v>
      </c>
      <c r="V3" s="45" t="s">
        <v>22</v>
      </c>
      <c r="W3" s="45" t="s">
        <v>23</v>
      </c>
      <c r="X3" s="45" t="s">
        <v>24</v>
      </c>
      <c r="Y3" s="1"/>
      <c r="Z3" s="43" t="s">
        <v>22</v>
      </c>
      <c r="AA3" s="48">
        <v>33825.0</v>
      </c>
      <c r="AB3" s="48">
        <v>17.62</v>
      </c>
      <c r="AC3" s="1"/>
      <c r="AD3" s="51" t="s">
        <v>26</v>
      </c>
      <c r="AE3" s="51" t="s">
        <v>28</v>
      </c>
      <c r="AF3" s="51" t="s">
        <v>29</v>
      </c>
      <c r="AG3" s="51" t="s">
        <v>30</v>
      </c>
      <c r="AH3" s="51" t="s">
        <v>31</v>
      </c>
      <c r="AI3" s="51" t="s">
        <v>32</v>
      </c>
      <c r="AJ3" s="51" t="s">
        <v>33</v>
      </c>
      <c r="AK3" s="51" t="s">
        <v>34</v>
      </c>
      <c r="AL3" s="51" t="s">
        <v>35</v>
      </c>
      <c r="AM3" s="51" t="s">
        <v>36</v>
      </c>
      <c r="AN3" s="51" t="s">
        <v>37</v>
      </c>
      <c r="AO3" s="51" t="s">
        <v>38</v>
      </c>
      <c r="AP3" s="51" t="s">
        <v>39</v>
      </c>
      <c r="AQ3" s="31"/>
      <c r="AR3" s="31"/>
    </row>
    <row r="4">
      <c r="A4" s="1"/>
      <c r="B4" s="51" t="s">
        <v>42</v>
      </c>
      <c r="C4" s="51" t="s">
        <v>28</v>
      </c>
      <c r="D4" s="51" t="s">
        <v>29</v>
      </c>
      <c r="E4" s="51" t="s">
        <v>30</v>
      </c>
      <c r="F4" s="51" t="s">
        <v>31</v>
      </c>
      <c r="G4" s="51" t="s">
        <v>32</v>
      </c>
      <c r="H4" s="51" t="s">
        <v>33</v>
      </c>
      <c r="I4" s="51" t="s">
        <v>34</v>
      </c>
      <c r="J4" s="51" t="s">
        <v>35</v>
      </c>
      <c r="K4" s="51" t="s">
        <v>36</v>
      </c>
      <c r="L4" s="51" t="s">
        <v>37</v>
      </c>
      <c r="M4" s="51" t="s">
        <v>38</v>
      </c>
      <c r="N4" s="51" t="s">
        <v>39</v>
      </c>
      <c r="O4" s="1"/>
      <c r="P4" s="1"/>
      <c r="Q4" s="43" t="s">
        <v>57</v>
      </c>
      <c r="R4" s="43" t="s">
        <v>59</v>
      </c>
      <c r="S4" s="48">
        <v>5704.0</v>
      </c>
      <c r="T4" s="1"/>
      <c r="U4" s="45" t="s">
        <v>57</v>
      </c>
      <c r="V4" s="62">
        <v>12635.0</v>
      </c>
      <c r="W4" s="62">
        <v>52.67</v>
      </c>
      <c r="X4" s="62">
        <v>47.36</v>
      </c>
      <c r="Y4" s="1"/>
      <c r="Z4" s="43" t="s">
        <v>66</v>
      </c>
      <c r="AA4" s="48">
        <v>49694.0</v>
      </c>
      <c r="AB4" s="48">
        <v>20.87</v>
      </c>
      <c r="AC4" s="1"/>
      <c r="AD4" s="43" t="s">
        <v>22</v>
      </c>
      <c r="AE4" s="48">
        <v>17407.0</v>
      </c>
      <c r="AF4" s="48">
        <v>17389.0</v>
      </c>
      <c r="AG4" s="48">
        <v>17184.0</v>
      </c>
      <c r="AH4" s="48">
        <v>20096.0</v>
      </c>
      <c r="AI4" s="48">
        <v>19905.0</v>
      </c>
      <c r="AJ4" s="48">
        <v>21722.0</v>
      </c>
      <c r="AK4" s="48">
        <v>19165.0</v>
      </c>
      <c r="AL4" s="48">
        <v>21011.0</v>
      </c>
      <c r="AM4" s="48">
        <v>24230.0</v>
      </c>
      <c r="AN4" s="48">
        <v>28250.0</v>
      </c>
      <c r="AO4" s="48">
        <v>29933.0</v>
      </c>
      <c r="AP4" s="48">
        <v>33825.0</v>
      </c>
      <c r="AQ4" s="64"/>
      <c r="AR4" s="65"/>
    </row>
    <row r="5">
      <c r="A5" s="1"/>
      <c r="B5" s="43" t="s">
        <v>83</v>
      </c>
      <c r="C5" s="48">
        <v>5308.0</v>
      </c>
      <c r="D5" s="48">
        <v>4740.0</v>
      </c>
      <c r="E5" s="48">
        <v>3870.0</v>
      </c>
      <c r="F5" s="48">
        <v>6833.0</v>
      </c>
      <c r="G5" s="48">
        <v>7186.0</v>
      </c>
      <c r="H5" s="48">
        <v>8668.0</v>
      </c>
      <c r="I5" s="48">
        <v>7633.0</v>
      </c>
      <c r="J5" s="48">
        <v>9009.0</v>
      </c>
      <c r="K5" s="48">
        <v>9201.0</v>
      </c>
      <c r="L5" s="48">
        <v>9232.0</v>
      </c>
      <c r="M5" s="48">
        <v>10139.0</v>
      </c>
      <c r="N5" s="48">
        <v>12278.0</v>
      </c>
      <c r="O5" s="72" t="b">
        <f t="shared" ref="O5:O14" si="1">sum(C5:N5)/sum(C$5:N$5)&gt;0.01</f>
        <v>1</v>
      </c>
      <c r="P5" s="1"/>
      <c r="Q5" s="43" t="s">
        <v>131</v>
      </c>
      <c r="R5" s="43" t="s">
        <v>59</v>
      </c>
      <c r="S5" s="48">
        <v>2861.0</v>
      </c>
      <c r="T5" s="1"/>
      <c r="U5" s="45" t="s">
        <v>131</v>
      </c>
      <c r="V5" s="62">
        <v>10284.0</v>
      </c>
      <c r="W5" s="62">
        <v>59.35</v>
      </c>
      <c r="X5" s="62">
        <v>67.21</v>
      </c>
      <c r="Y5" s="1"/>
      <c r="Z5" s="43" t="s">
        <v>23</v>
      </c>
      <c r="AA5" s="48">
        <v>61.81</v>
      </c>
      <c r="AB5" s="48">
        <v>0.22</v>
      </c>
      <c r="AC5" s="1"/>
      <c r="AD5" s="43" t="s">
        <v>66</v>
      </c>
      <c r="AE5" s="48">
        <v>25442.0</v>
      </c>
      <c r="AF5" s="48">
        <v>26859.0</v>
      </c>
      <c r="AG5" s="48">
        <v>24703.0</v>
      </c>
      <c r="AH5" s="48">
        <v>30527.0</v>
      </c>
      <c r="AI5" s="48">
        <v>30214.0</v>
      </c>
      <c r="AJ5" s="48">
        <v>33796.0</v>
      </c>
      <c r="AK5" s="48">
        <v>29160.0</v>
      </c>
      <c r="AL5" s="48">
        <v>32443.0</v>
      </c>
      <c r="AM5" s="48">
        <v>36129.0</v>
      </c>
      <c r="AN5" s="48">
        <v>41049.0</v>
      </c>
      <c r="AO5" s="48">
        <v>43017.0</v>
      </c>
      <c r="AP5" s="48">
        <v>49694.0</v>
      </c>
      <c r="AQ5" s="65"/>
      <c r="AR5" s="65"/>
    </row>
    <row r="6">
      <c r="A6" s="1"/>
      <c r="B6" s="43" t="s">
        <v>133</v>
      </c>
      <c r="C6" s="48">
        <v>5405.0</v>
      </c>
      <c r="D6" s="48">
        <v>5518.0</v>
      </c>
      <c r="E6" s="48">
        <v>5319.0</v>
      </c>
      <c r="F6" s="48">
        <v>6473.0</v>
      </c>
      <c r="G6" s="48">
        <v>5771.0</v>
      </c>
      <c r="H6" s="48">
        <v>7234.0</v>
      </c>
      <c r="I6" s="48">
        <v>6360.0</v>
      </c>
      <c r="J6" s="48">
        <v>7287.0</v>
      </c>
      <c r="K6" s="48">
        <v>7761.0</v>
      </c>
      <c r="L6" s="48">
        <v>7510.0</v>
      </c>
      <c r="M6" s="48">
        <v>7629.0</v>
      </c>
      <c r="N6" s="48">
        <v>10284.0</v>
      </c>
      <c r="O6" s="72" t="b">
        <f t="shared" si="1"/>
        <v>1</v>
      </c>
      <c r="P6" s="1"/>
      <c r="Q6" s="43" t="s">
        <v>131</v>
      </c>
      <c r="R6" s="43" t="s">
        <v>135</v>
      </c>
      <c r="S6" s="48">
        <v>2208.0</v>
      </c>
      <c r="T6" s="1"/>
      <c r="U6" s="45" t="s">
        <v>136</v>
      </c>
      <c r="V6" s="62">
        <v>3748.0</v>
      </c>
      <c r="W6" s="62">
        <v>90.17</v>
      </c>
      <c r="X6" s="62">
        <v>77.55</v>
      </c>
      <c r="Y6" s="1"/>
      <c r="Z6" s="43" t="s">
        <v>24</v>
      </c>
      <c r="AA6" s="48">
        <v>57.62</v>
      </c>
      <c r="AB6" s="48">
        <v>-3.81</v>
      </c>
      <c r="AC6" s="1"/>
      <c r="AD6" s="43" t="s">
        <v>23</v>
      </c>
      <c r="AE6" s="48">
        <v>57.17</v>
      </c>
      <c r="AF6" s="48">
        <v>55.99</v>
      </c>
      <c r="AG6" s="48">
        <v>55.17</v>
      </c>
      <c r="AH6" s="48">
        <v>58.33</v>
      </c>
      <c r="AI6" s="48">
        <v>58.99</v>
      </c>
      <c r="AJ6" s="48">
        <v>56.9</v>
      </c>
      <c r="AK6" s="48">
        <v>56.42</v>
      </c>
      <c r="AL6" s="48">
        <v>55.69</v>
      </c>
      <c r="AM6" s="48">
        <v>57.79</v>
      </c>
      <c r="AN6" s="48">
        <v>61.89</v>
      </c>
      <c r="AO6" s="48">
        <v>61.67</v>
      </c>
      <c r="AP6" s="48">
        <v>61.81</v>
      </c>
      <c r="AQ6" s="65"/>
      <c r="AR6" s="65"/>
    </row>
    <row r="7">
      <c r="A7" s="1"/>
      <c r="B7" s="43" t="s">
        <v>137</v>
      </c>
      <c r="C7" s="48">
        <v>4366.0</v>
      </c>
      <c r="D7" s="48">
        <v>4779.0</v>
      </c>
      <c r="E7" s="48">
        <v>4739.0</v>
      </c>
      <c r="F7" s="48">
        <v>4469.0</v>
      </c>
      <c r="G7" s="48">
        <v>4687.0</v>
      </c>
      <c r="H7" s="48">
        <v>2828.0</v>
      </c>
      <c r="I7" s="48">
        <v>2272.0</v>
      </c>
      <c r="J7" s="48">
        <v>3104.0</v>
      </c>
      <c r="K7" s="48">
        <v>4672.0</v>
      </c>
      <c r="L7" s="48">
        <v>9606.0</v>
      </c>
      <c r="M7" s="48">
        <v>10200.0</v>
      </c>
      <c r="N7" s="48">
        <v>6819.0</v>
      </c>
      <c r="O7" s="72" t="b">
        <f t="shared" si="1"/>
        <v>1</v>
      </c>
      <c r="P7" s="1"/>
      <c r="Q7" s="43" t="s">
        <v>136</v>
      </c>
      <c r="R7" s="43" t="s">
        <v>135</v>
      </c>
      <c r="S7" s="48">
        <v>1543.0</v>
      </c>
      <c r="T7" s="1"/>
      <c r="U7" s="45" t="s">
        <v>140</v>
      </c>
      <c r="V7" s="62">
        <v>1839.0</v>
      </c>
      <c r="W7" s="62">
        <v>70.0</v>
      </c>
      <c r="X7" s="62">
        <v>63.19</v>
      </c>
      <c r="Y7" s="1"/>
      <c r="Z7" s="43" t="s">
        <v>143</v>
      </c>
      <c r="AA7" s="48">
        <v>100358.0</v>
      </c>
      <c r="AB7" s="48">
        <v>23.31</v>
      </c>
      <c r="AC7" s="1"/>
      <c r="AD7" s="43" t="s">
        <v>24</v>
      </c>
      <c r="AE7" s="48">
        <v>59.94</v>
      </c>
      <c r="AF7" s="48">
        <v>56.26</v>
      </c>
      <c r="AG7" s="48">
        <v>61.26</v>
      </c>
      <c r="AH7" s="48">
        <v>58.23</v>
      </c>
      <c r="AI7" s="48">
        <v>56.93</v>
      </c>
      <c r="AJ7" s="48">
        <v>55.85</v>
      </c>
      <c r="AK7" s="48">
        <v>54.38</v>
      </c>
      <c r="AL7" s="48">
        <v>55.02</v>
      </c>
      <c r="AM7" s="48">
        <v>57.65</v>
      </c>
      <c r="AN7" s="48">
        <v>60.15</v>
      </c>
      <c r="AO7" s="48">
        <v>59.67</v>
      </c>
      <c r="AP7" s="48">
        <v>57.62</v>
      </c>
      <c r="AQ7" s="65"/>
      <c r="AR7" s="65"/>
    </row>
    <row r="8">
      <c r="A8" s="1"/>
      <c r="B8" s="43" t="s">
        <v>148</v>
      </c>
      <c r="C8" s="48">
        <v>3361.0</v>
      </c>
      <c r="D8" s="48">
        <v>3671.0</v>
      </c>
      <c r="E8" s="48">
        <v>4369.0</v>
      </c>
      <c r="F8" s="48">
        <v>4004.0</v>
      </c>
      <c r="G8" s="48">
        <v>3460.0</v>
      </c>
      <c r="H8" s="48">
        <v>4505.0</v>
      </c>
      <c r="I8" s="48">
        <v>4022.0</v>
      </c>
      <c r="J8" s="48">
        <v>2621.0</v>
      </c>
      <c r="K8" s="48">
        <v>3706.0</v>
      </c>
      <c r="L8" s="48">
        <v>2759.0</v>
      </c>
      <c r="M8" s="48">
        <v>2547.0</v>
      </c>
      <c r="N8" s="48">
        <v>5810.0</v>
      </c>
      <c r="O8" s="72" t="b">
        <f t="shared" si="1"/>
        <v>1</v>
      </c>
      <c r="P8" s="1"/>
      <c r="Q8" s="43" t="s">
        <v>136</v>
      </c>
      <c r="R8" s="43" t="s">
        <v>135</v>
      </c>
      <c r="S8" s="48">
        <v>1519.0</v>
      </c>
      <c r="T8" s="1"/>
      <c r="U8" s="45" t="s">
        <v>140</v>
      </c>
      <c r="V8" s="62">
        <v>1546.0</v>
      </c>
      <c r="W8" s="62">
        <v>59.1</v>
      </c>
      <c r="X8" s="62">
        <v>46.85</v>
      </c>
      <c r="Y8" s="1"/>
      <c r="Z8" s="43" t="s">
        <v>151</v>
      </c>
      <c r="AA8" s="48">
        <v>1.93</v>
      </c>
      <c r="AB8" s="48">
        <v>0.17</v>
      </c>
      <c r="AC8" s="1"/>
      <c r="AD8" s="43" t="s">
        <v>143</v>
      </c>
      <c r="AE8" s="48">
        <v>54646.0</v>
      </c>
      <c r="AF8" s="48">
        <v>58092.0</v>
      </c>
      <c r="AG8" s="48">
        <v>51001.0</v>
      </c>
      <c r="AH8" s="48">
        <v>64492.0</v>
      </c>
      <c r="AI8" s="48">
        <v>62092.0</v>
      </c>
      <c r="AJ8" s="48">
        <v>72613.0</v>
      </c>
      <c r="AK8" s="48">
        <v>61149.0</v>
      </c>
      <c r="AL8" s="48">
        <v>69394.0</v>
      </c>
      <c r="AM8" s="48">
        <v>77123.0</v>
      </c>
      <c r="AN8" s="48">
        <v>81190.0</v>
      </c>
      <c r="AO8" s="48">
        <v>84981.0</v>
      </c>
      <c r="AP8" s="48">
        <v>100358.0</v>
      </c>
      <c r="AQ8" s="65"/>
      <c r="AR8" s="65"/>
    </row>
    <row r="9">
      <c r="A9" s="1"/>
      <c r="B9" s="43" t="s">
        <v>152</v>
      </c>
      <c r="C9" s="48">
        <v>122.0</v>
      </c>
      <c r="D9" s="48">
        <v>147.0</v>
      </c>
      <c r="E9" s="48">
        <v>94.0</v>
      </c>
      <c r="F9" s="48">
        <v>105.0</v>
      </c>
      <c r="G9" s="48">
        <v>87.0</v>
      </c>
      <c r="H9" s="48">
        <v>101.0</v>
      </c>
      <c r="I9" s="48">
        <v>228.0</v>
      </c>
      <c r="J9" s="48">
        <v>322.0</v>
      </c>
      <c r="K9" s="48">
        <v>292.0</v>
      </c>
      <c r="L9" s="48">
        <v>721.0</v>
      </c>
      <c r="M9" s="48">
        <v>1049.0</v>
      </c>
      <c r="N9" s="48">
        <v>753.0</v>
      </c>
      <c r="O9" s="72" t="b">
        <f t="shared" si="1"/>
        <v>1</v>
      </c>
      <c r="P9" s="1"/>
      <c r="Q9" s="43" t="s">
        <v>57</v>
      </c>
      <c r="R9" s="43" t="s">
        <v>59</v>
      </c>
      <c r="S9" s="48">
        <v>1461.0</v>
      </c>
      <c r="T9" s="1"/>
      <c r="U9" s="45" t="s">
        <v>140</v>
      </c>
      <c r="V9" s="62">
        <v>1276.0</v>
      </c>
      <c r="W9" s="62">
        <v>60.13</v>
      </c>
      <c r="X9" s="62">
        <v>62.22</v>
      </c>
      <c r="Y9" s="1"/>
      <c r="Z9" s="43" t="s">
        <v>153</v>
      </c>
      <c r="AA9" s="48">
        <v>1475.0</v>
      </c>
      <c r="AB9" s="48">
        <v>1.3</v>
      </c>
      <c r="AC9" s="1"/>
      <c r="AD9" s="43" t="s">
        <v>151</v>
      </c>
      <c r="AE9" s="48">
        <v>2.01</v>
      </c>
      <c r="AF9" s="48">
        <v>2.16</v>
      </c>
      <c r="AG9" s="48">
        <v>1.79</v>
      </c>
      <c r="AH9" s="48">
        <v>2.1</v>
      </c>
      <c r="AI9" s="48">
        <v>1.98</v>
      </c>
      <c r="AJ9" s="48">
        <v>2.1</v>
      </c>
      <c r="AK9" s="48">
        <v>2.15</v>
      </c>
      <c r="AL9" s="48">
        <v>2.33</v>
      </c>
      <c r="AM9" s="48">
        <v>2.21</v>
      </c>
      <c r="AN9" s="48">
        <v>1.9</v>
      </c>
      <c r="AO9" s="48">
        <v>1.93</v>
      </c>
      <c r="AP9" s="48">
        <v>1.93</v>
      </c>
      <c r="AQ9" s="65"/>
      <c r="AR9" s="65"/>
    </row>
    <row r="10">
      <c r="A10" s="1"/>
      <c r="B10" s="43" t="s">
        <v>155</v>
      </c>
      <c r="C10" s="48"/>
      <c r="D10" s="48"/>
      <c r="E10" s="48"/>
      <c r="F10" s="48">
        <v>42.0</v>
      </c>
      <c r="G10" s="48">
        <v>537.0</v>
      </c>
      <c r="H10" s="48">
        <v>744.0</v>
      </c>
      <c r="I10" s="48">
        <v>460.0</v>
      </c>
      <c r="J10" s="48">
        <v>311.0</v>
      </c>
      <c r="K10" s="48">
        <v>132.0</v>
      </c>
      <c r="L10" s="48">
        <v>113.0</v>
      </c>
      <c r="M10" s="48">
        <v>76.0</v>
      </c>
      <c r="N10" s="48">
        <v>52.0</v>
      </c>
      <c r="O10" s="72" t="b">
        <f t="shared" si="1"/>
        <v>1</v>
      </c>
      <c r="P10" s="1"/>
      <c r="Q10" s="43" t="s">
        <v>57</v>
      </c>
      <c r="R10" s="43" t="s">
        <v>159</v>
      </c>
      <c r="S10" s="48">
        <v>1289.0</v>
      </c>
      <c r="T10" s="1"/>
      <c r="U10" s="82" t="s">
        <v>160</v>
      </c>
      <c r="V10" s="62">
        <v>488.0</v>
      </c>
      <c r="W10" s="62">
        <v>87.99</v>
      </c>
      <c r="X10" s="62">
        <v>59.88</v>
      </c>
      <c r="Y10" s="1"/>
      <c r="Z10" s="45" t="s">
        <v>161</v>
      </c>
      <c r="AA10" s="62">
        <v>249040.36</v>
      </c>
      <c r="AB10" s="62">
        <v>-5.22</v>
      </c>
      <c r="AC10" s="1"/>
      <c r="AD10" s="43" t="s">
        <v>153</v>
      </c>
      <c r="AE10" s="48">
        <v>831.0</v>
      </c>
      <c r="AF10" s="48">
        <v>916.0</v>
      </c>
      <c r="AG10" s="48">
        <v>852.0</v>
      </c>
      <c r="AH10" s="48">
        <v>1045.0</v>
      </c>
      <c r="AI10" s="48">
        <v>980.0</v>
      </c>
      <c r="AJ10" s="48">
        <v>1139.0</v>
      </c>
      <c r="AK10" s="48">
        <v>1180.0</v>
      </c>
      <c r="AL10" s="48">
        <v>1332.0</v>
      </c>
      <c r="AM10" s="48">
        <v>1335.0</v>
      </c>
      <c r="AN10" s="48">
        <v>1448.0</v>
      </c>
      <c r="AO10" s="48">
        <v>1518.0</v>
      </c>
      <c r="AP10" s="48">
        <v>1475.0</v>
      </c>
      <c r="AQ10" s="65"/>
      <c r="AR10" s="65"/>
    </row>
    <row r="11">
      <c r="A11" s="1"/>
      <c r="B11" s="43" t="s">
        <v>165</v>
      </c>
      <c r="C11" s="48">
        <v>93.0</v>
      </c>
      <c r="D11" s="48">
        <v>89.0</v>
      </c>
      <c r="E11" s="48">
        <v>22.0</v>
      </c>
      <c r="F11" s="48">
        <v>37.0</v>
      </c>
      <c r="G11" s="48">
        <v>9.0</v>
      </c>
      <c r="H11" s="48">
        <v>53.0</v>
      </c>
      <c r="I11" s="48">
        <v>15.0</v>
      </c>
      <c r="J11" s="48">
        <v>40.0</v>
      </c>
      <c r="K11" s="48">
        <v>225.0</v>
      </c>
      <c r="L11" s="48">
        <v>16.0</v>
      </c>
      <c r="M11" s="48">
        <v>39.0</v>
      </c>
      <c r="N11" s="48">
        <v>87.0</v>
      </c>
      <c r="O11" s="72" t="b">
        <f t="shared" si="1"/>
        <v>0</v>
      </c>
      <c r="P11" s="1"/>
      <c r="Q11" s="43" t="s">
        <v>57</v>
      </c>
      <c r="R11" s="43" t="s">
        <v>167</v>
      </c>
      <c r="S11" s="48">
        <v>1137.0</v>
      </c>
      <c r="T11" s="1"/>
      <c r="U11" s="82" t="s">
        <v>168</v>
      </c>
      <c r="V11" s="62">
        <v>428.0</v>
      </c>
      <c r="W11" s="62">
        <v>78.18</v>
      </c>
      <c r="X11" s="62">
        <v>52.59</v>
      </c>
      <c r="Y11" s="1"/>
      <c r="Z11" s="1"/>
      <c r="AA11" s="1"/>
      <c r="AB11" s="1"/>
      <c r="AC11" s="1"/>
      <c r="AD11" s="45" t="s">
        <v>161</v>
      </c>
      <c r="AE11" s="62">
        <v>145956.01</v>
      </c>
      <c r="AF11" s="62">
        <v>163121.47</v>
      </c>
      <c r="AG11" s="62">
        <v>156557.21</v>
      </c>
      <c r="AH11" s="62">
        <v>195606.49</v>
      </c>
      <c r="AI11" s="62">
        <v>187066.02</v>
      </c>
      <c r="AJ11" s="62">
        <v>211149.5</v>
      </c>
      <c r="AK11" s="62">
        <v>206230.9</v>
      </c>
      <c r="AL11" s="62">
        <v>239271.85</v>
      </c>
      <c r="AM11" s="62">
        <v>226886.26</v>
      </c>
      <c r="AN11" s="62">
        <v>247631.35</v>
      </c>
      <c r="AO11" s="62">
        <v>273317.81</v>
      </c>
      <c r="AP11" s="62">
        <v>249040.36</v>
      </c>
      <c r="AQ11" s="1"/>
      <c r="AR11" s="1"/>
    </row>
    <row r="12">
      <c r="A12" s="1"/>
      <c r="B12" s="43" t="s">
        <v>174</v>
      </c>
      <c r="C12" s="48">
        <v>2.0</v>
      </c>
      <c r="D12" s="48">
        <v>2.0</v>
      </c>
      <c r="E12" s="48">
        <v>1.0</v>
      </c>
      <c r="F12" s="48">
        <v>1.0</v>
      </c>
      <c r="G12" s="83"/>
      <c r="H12" s="48"/>
      <c r="I12" s="83"/>
      <c r="J12" s="83"/>
      <c r="K12" s="48">
        <v>9.0</v>
      </c>
      <c r="L12" s="48">
        <v>9.0</v>
      </c>
      <c r="M12" s="48">
        <v>44.0</v>
      </c>
      <c r="N12" s="48">
        <v>17.0</v>
      </c>
      <c r="O12" s="72" t="b">
        <f t="shared" si="1"/>
        <v>0</v>
      </c>
      <c r="P12" s="1"/>
      <c r="Q12" s="43" t="s">
        <v>131</v>
      </c>
      <c r="R12" s="43" t="s">
        <v>175</v>
      </c>
      <c r="S12" s="48">
        <v>947.0</v>
      </c>
      <c r="T12" s="1"/>
      <c r="U12" s="45" t="s">
        <v>176</v>
      </c>
      <c r="V12" s="62">
        <v>359.0</v>
      </c>
      <c r="W12" s="62">
        <v>86.18</v>
      </c>
      <c r="X12" s="62">
        <v>69.98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1"/>
      <c r="B13" s="43" t="s">
        <v>136</v>
      </c>
      <c r="C13" s="48"/>
      <c r="D13" s="48"/>
      <c r="E13" s="48"/>
      <c r="F13" s="48"/>
      <c r="G13" s="83"/>
      <c r="H13" s="48"/>
      <c r="I13" s="83"/>
      <c r="J13" s="83"/>
      <c r="K13" s="83"/>
      <c r="L13" s="83"/>
      <c r="M13" s="48">
        <v>35.0</v>
      </c>
      <c r="N13" s="48">
        <v>2.0</v>
      </c>
      <c r="O13" s="72" t="b">
        <f t="shared" si="1"/>
        <v>0</v>
      </c>
      <c r="P13" s="1"/>
      <c r="Q13" s="43" t="s">
        <v>131</v>
      </c>
      <c r="R13" s="43" t="s">
        <v>180</v>
      </c>
      <c r="S13" s="48">
        <v>923.0</v>
      </c>
      <c r="T13" s="1"/>
      <c r="U13" s="82" t="s">
        <v>181</v>
      </c>
      <c r="V13" s="62">
        <v>356.0</v>
      </c>
      <c r="W13" s="62">
        <v>73.24</v>
      </c>
      <c r="X13" s="62">
        <v>64.85</v>
      </c>
      <c r="Y13" s="1"/>
      <c r="Z13" s="35" t="s">
        <v>182</v>
      </c>
      <c r="AA13" s="37"/>
      <c r="AB13" s="37"/>
      <c r="AC13" s="1"/>
      <c r="AD13" s="38" t="s">
        <v>183</v>
      </c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1"/>
      <c r="AR13" s="1"/>
    </row>
    <row r="14">
      <c r="A14" s="1"/>
      <c r="B14" s="45" t="s">
        <v>184</v>
      </c>
      <c r="C14" s="62">
        <v>1.0</v>
      </c>
      <c r="D14" s="62">
        <v>5.0</v>
      </c>
      <c r="E14" s="62">
        <v>2.0</v>
      </c>
      <c r="F14" s="62">
        <v>6.0</v>
      </c>
      <c r="G14" s="85"/>
      <c r="H14" s="62">
        <v>1.0</v>
      </c>
      <c r="I14" s="85"/>
      <c r="J14" s="85"/>
      <c r="K14" s="85"/>
      <c r="L14" s="85"/>
      <c r="M14" s="62"/>
      <c r="N14" s="62"/>
      <c r="O14" s="72" t="b">
        <f t="shared" si="1"/>
        <v>0</v>
      </c>
      <c r="P14" s="1"/>
      <c r="Q14" s="43" t="s">
        <v>57</v>
      </c>
      <c r="R14" s="43" t="s">
        <v>185</v>
      </c>
      <c r="S14" s="48">
        <v>831.0</v>
      </c>
      <c r="T14" s="1"/>
      <c r="U14" s="45" t="s">
        <v>186</v>
      </c>
      <c r="V14" s="62">
        <v>333.0</v>
      </c>
      <c r="W14" s="62">
        <v>78.27</v>
      </c>
      <c r="X14" s="62">
        <v>90.25</v>
      </c>
      <c r="Y14" s="1"/>
      <c r="Z14" s="45" t="s">
        <v>188</v>
      </c>
      <c r="AA14" s="45" t="s">
        <v>22</v>
      </c>
      <c r="AB14" s="45" t="s">
        <v>189</v>
      </c>
      <c r="AC14" s="1"/>
      <c r="AD14" s="86" t="s">
        <v>188</v>
      </c>
      <c r="AE14" s="86" t="s">
        <v>28</v>
      </c>
      <c r="AF14" s="86" t="s">
        <v>29</v>
      </c>
      <c r="AG14" s="86" t="s">
        <v>30</v>
      </c>
      <c r="AH14" s="86" t="s">
        <v>31</v>
      </c>
      <c r="AI14" s="86" t="s">
        <v>32</v>
      </c>
      <c r="AJ14" s="86" t="s">
        <v>33</v>
      </c>
      <c r="AK14" s="86" t="s">
        <v>34</v>
      </c>
      <c r="AL14" s="86" t="s">
        <v>35</v>
      </c>
      <c r="AM14" s="86" t="s">
        <v>36</v>
      </c>
      <c r="AN14" s="86" t="s">
        <v>37</v>
      </c>
      <c r="AO14" s="86" t="s">
        <v>38</v>
      </c>
      <c r="AP14" s="86" t="s">
        <v>39</v>
      </c>
      <c r="AQ14" s="1"/>
      <c r="AR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43" t="s">
        <v>131</v>
      </c>
      <c r="R15" s="43" t="s">
        <v>159</v>
      </c>
      <c r="S15" s="48">
        <v>654.0</v>
      </c>
      <c r="T15" s="1"/>
      <c r="U15" s="45" t="s">
        <v>186</v>
      </c>
      <c r="V15" s="62">
        <v>229.0</v>
      </c>
      <c r="W15" s="62">
        <v>85.37</v>
      </c>
      <c r="X15" s="62">
        <v>35.23</v>
      </c>
      <c r="Y15" s="1"/>
      <c r="Z15" s="45" t="s">
        <v>190</v>
      </c>
      <c r="AA15" s="62">
        <v>9973.0</v>
      </c>
      <c r="AB15" s="62">
        <v>21.24</v>
      </c>
      <c r="AC15" s="1"/>
      <c r="AD15" s="45" t="s">
        <v>190</v>
      </c>
      <c r="AE15" s="62">
        <v>6034.0</v>
      </c>
      <c r="AF15" s="62">
        <v>6297.0</v>
      </c>
      <c r="AG15" s="62">
        <v>5482.0</v>
      </c>
      <c r="AH15" s="62">
        <v>7494.0</v>
      </c>
      <c r="AI15" s="62">
        <v>7365.0</v>
      </c>
      <c r="AJ15" s="62">
        <v>8548.0</v>
      </c>
      <c r="AK15" s="62">
        <v>7662.0</v>
      </c>
      <c r="AL15" s="62">
        <v>8823.0</v>
      </c>
      <c r="AM15" s="62">
        <v>9218.0</v>
      </c>
      <c r="AN15" s="62">
        <v>9561.0</v>
      </c>
      <c r="AO15" s="62">
        <v>10039.0</v>
      </c>
      <c r="AP15" s="62">
        <v>11205.0</v>
      </c>
      <c r="AQ15" s="1"/>
      <c r="AR15" s="1"/>
    </row>
    <row r="16">
      <c r="A16" s="1"/>
      <c r="B16" s="35" t="s">
        <v>191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1"/>
      <c r="P16" s="1"/>
      <c r="Q16" s="87" t="s">
        <v>181</v>
      </c>
      <c r="R16" s="43" t="s">
        <v>159</v>
      </c>
      <c r="S16" s="48">
        <v>642.0</v>
      </c>
      <c r="T16" s="1"/>
      <c r="U16" s="45" t="s">
        <v>186</v>
      </c>
      <c r="V16" s="62">
        <v>227.0</v>
      </c>
      <c r="W16" s="62">
        <v>92.89</v>
      </c>
      <c r="X16" s="62">
        <v>86.17</v>
      </c>
      <c r="Y16" s="1"/>
      <c r="Z16" s="45" t="s">
        <v>193</v>
      </c>
      <c r="AA16" s="62">
        <v>6322.0</v>
      </c>
      <c r="AB16" s="62">
        <v>-4.72</v>
      </c>
      <c r="AC16" s="1"/>
      <c r="AD16" s="45" t="s">
        <v>193</v>
      </c>
      <c r="AE16" s="62">
        <v>4440.0</v>
      </c>
      <c r="AF16" s="62">
        <v>4016.0</v>
      </c>
      <c r="AG16" s="62">
        <v>5325.0</v>
      </c>
      <c r="AH16" s="62">
        <v>3650.0</v>
      </c>
      <c r="AI16" s="62">
        <v>4448.0</v>
      </c>
      <c r="AJ16" s="62">
        <v>2855.0</v>
      </c>
      <c r="AK16" s="62">
        <v>2224.0</v>
      </c>
      <c r="AL16" s="62">
        <v>1997.0</v>
      </c>
      <c r="AM16" s="62">
        <v>3549.0</v>
      </c>
      <c r="AN16" s="62">
        <v>6370.0</v>
      </c>
      <c r="AO16" s="62">
        <v>6859.0</v>
      </c>
      <c r="AP16" s="62">
        <v>6322.0</v>
      </c>
      <c r="AQ16" s="1"/>
      <c r="AR16" s="1"/>
    </row>
    <row r="17">
      <c r="A17" s="1"/>
      <c r="B17" s="88" t="str">
        <f t="shared" ref="B17:N17" si="2">B4</f>
        <v>Medium</v>
      </c>
      <c r="C17" s="88" t="str">
        <f t="shared" si="2"/>
        <v>2016|10</v>
      </c>
      <c r="D17" s="88" t="str">
        <f t="shared" si="2"/>
        <v>2016|11</v>
      </c>
      <c r="E17" s="88" t="str">
        <f t="shared" si="2"/>
        <v>2016|12</v>
      </c>
      <c r="F17" s="88" t="str">
        <f t="shared" si="2"/>
        <v>2017|01</v>
      </c>
      <c r="G17" s="88" t="str">
        <f t="shared" si="2"/>
        <v>2017|02</v>
      </c>
      <c r="H17" s="88" t="str">
        <f t="shared" si="2"/>
        <v>2017|03</v>
      </c>
      <c r="I17" s="88" t="str">
        <f t="shared" si="2"/>
        <v>2017|04</v>
      </c>
      <c r="J17" s="88" t="str">
        <f t="shared" si="2"/>
        <v>2017|05</v>
      </c>
      <c r="K17" s="88" t="str">
        <f t="shared" si="2"/>
        <v>2017|06</v>
      </c>
      <c r="L17" s="88" t="str">
        <f t="shared" si="2"/>
        <v>2017|07</v>
      </c>
      <c r="M17" s="88" t="str">
        <f t="shared" si="2"/>
        <v>2017|08</v>
      </c>
      <c r="N17" s="88" t="str">
        <f t="shared" si="2"/>
        <v>2017|09</v>
      </c>
      <c r="O17" s="1"/>
      <c r="P17" s="1"/>
      <c r="Q17" s="43" t="s">
        <v>57</v>
      </c>
      <c r="R17" s="43" t="s">
        <v>194</v>
      </c>
      <c r="S17" s="48">
        <v>525.0</v>
      </c>
      <c r="T17" s="1"/>
      <c r="U17" s="82" t="s">
        <v>196</v>
      </c>
      <c r="V17" s="62">
        <v>227.0</v>
      </c>
      <c r="W17" s="62">
        <v>74.63</v>
      </c>
      <c r="X17" s="62">
        <v>71.27</v>
      </c>
      <c r="Y17" s="1"/>
      <c r="Z17" s="45" t="s">
        <v>197</v>
      </c>
      <c r="AA17" s="62">
        <v>1405.0</v>
      </c>
      <c r="AB17" s="62">
        <v>2.86</v>
      </c>
      <c r="AC17" s="1"/>
      <c r="AD17" s="45" t="s">
        <v>197</v>
      </c>
      <c r="AE17" s="62">
        <v>1012.0</v>
      </c>
      <c r="AF17" s="62">
        <v>1219.0</v>
      </c>
      <c r="AG17" s="62">
        <v>1147.0</v>
      </c>
      <c r="AH17" s="62">
        <v>1404.0</v>
      </c>
      <c r="AI17" s="62">
        <v>1411.0</v>
      </c>
      <c r="AJ17" s="62">
        <v>1595.0</v>
      </c>
      <c r="AK17" s="62">
        <v>1618.0</v>
      </c>
      <c r="AL17" s="62">
        <v>1833.0</v>
      </c>
      <c r="AM17" s="62">
        <v>1836.0</v>
      </c>
      <c r="AN17" s="62">
        <v>1905.0</v>
      </c>
      <c r="AO17" s="62">
        <v>1953.0</v>
      </c>
      <c r="AP17" s="62">
        <v>1861.0</v>
      </c>
      <c r="AQ17" s="1"/>
      <c r="AR17" s="1"/>
    </row>
    <row r="18">
      <c r="A18" s="1"/>
      <c r="B18" s="89" t="str">
        <f t="shared" ref="B18:N18" si="3">if($O5,B5,"")</f>
        <v>organic</v>
      </c>
      <c r="C18" s="89">
        <f t="shared" si="3"/>
        <v>5308</v>
      </c>
      <c r="D18" s="89">
        <f t="shared" si="3"/>
        <v>4740</v>
      </c>
      <c r="E18" s="89">
        <f t="shared" si="3"/>
        <v>3870</v>
      </c>
      <c r="F18" s="89">
        <f t="shared" si="3"/>
        <v>6833</v>
      </c>
      <c r="G18" s="89">
        <f t="shared" si="3"/>
        <v>7186</v>
      </c>
      <c r="H18" s="89">
        <f t="shared" si="3"/>
        <v>8668</v>
      </c>
      <c r="I18" s="89">
        <f t="shared" si="3"/>
        <v>7633</v>
      </c>
      <c r="J18" s="89">
        <f t="shared" si="3"/>
        <v>9009</v>
      </c>
      <c r="K18" s="89">
        <f t="shared" si="3"/>
        <v>9201</v>
      </c>
      <c r="L18" s="89">
        <f t="shared" si="3"/>
        <v>9232</v>
      </c>
      <c r="M18" s="89">
        <f t="shared" si="3"/>
        <v>10139</v>
      </c>
      <c r="N18" s="89">
        <f t="shared" si="3"/>
        <v>12278</v>
      </c>
      <c r="O18" s="1"/>
      <c r="P18" s="1"/>
      <c r="Q18" s="43" t="s">
        <v>57</v>
      </c>
      <c r="R18" s="43" t="s">
        <v>194</v>
      </c>
      <c r="S18" s="48">
        <v>507.0</v>
      </c>
      <c r="T18" s="1"/>
      <c r="U18" s="82" t="s">
        <v>200</v>
      </c>
      <c r="V18" s="62">
        <v>225.0</v>
      </c>
      <c r="W18" s="62">
        <v>73.81</v>
      </c>
      <c r="X18" s="62">
        <v>43.88</v>
      </c>
      <c r="Y18" s="1"/>
      <c r="Z18" s="45" t="s">
        <v>201</v>
      </c>
      <c r="AA18" s="62">
        <v>485.0</v>
      </c>
      <c r="AB18" s="62">
        <v>-0.21</v>
      </c>
      <c r="AC18" s="1"/>
      <c r="AD18" s="45" t="s">
        <v>201</v>
      </c>
      <c r="AE18" s="62">
        <v>396.0</v>
      </c>
      <c r="AF18" s="62">
        <v>232.0</v>
      </c>
      <c r="AG18" s="62">
        <v>243.0</v>
      </c>
      <c r="AH18" s="62">
        <v>244.0</v>
      </c>
      <c r="AI18" s="62">
        <v>192.0</v>
      </c>
      <c r="AJ18" s="62">
        <v>285.0</v>
      </c>
      <c r="AK18" s="62">
        <v>220.0</v>
      </c>
      <c r="AL18" s="62">
        <v>230.0</v>
      </c>
      <c r="AM18" s="62">
        <v>394.0</v>
      </c>
      <c r="AN18" s="62">
        <v>435.0</v>
      </c>
      <c r="AO18" s="62">
        <v>509.0</v>
      </c>
      <c r="AP18" s="62">
        <v>485.0</v>
      </c>
      <c r="AQ18" s="1"/>
      <c r="AR18" s="1"/>
    </row>
    <row r="19">
      <c r="A19" s="1"/>
      <c r="B19" s="89" t="str">
        <f t="shared" ref="B19:N19" si="4">if($O6,B6,"")</f>
        <v>(none)</v>
      </c>
      <c r="C19" s="89">
        <f t="shared" si="4"/>
        <v>5405</v>
      </c>
      <c r="D19" s="89">
        <f t="shared" si="4"/>
        <v>5518</v>
      </c>
      <c r="E19" s="89">
        <f t="shared" si="4"/>
        <v>5319</v>
      </c>
      <c r="F19" s="89">
        <f t="shared" si="4"/>
        <v>6473</v>
      </c>
      <c r="G19" s="89">
        <f t="shared" si="4"/>
        <v>5771</v>
      </c>
      <c r="H19" s="89">
        <f t="shared" si="4"/>
        <v>7234</v>
      </c>
      <c r="I19" s="89">
        <f t="shared" si="4"/>
        <v>6360</v>
      </c>
      <c r="J19" s="89">
        <f t="shared" si="4"/>
        <v>7287</v>
      </c>
      <c r="K19" s="89">
        <f t="shared" si="4"/>
        <v>7761</v>
      </c>
      <c r="L19" s="89">
        <f t="shared" si="4"/>
        <v>7510</v>
      </c>
      <c r="M19" s="89">
        <f t="shared" si="4"/>
        <v>7629</v>
      </c>
      <c r="N19" s="89">
        <f t="shared" si="4"/>
        <v>10284</v>
      </c>
      <c r="O19" s="1"/>
      <c r="P19" s="1"/>
      <c r="Q19" s="43" t="s">
        <v>57</v>
      </c>
      <c r="R19" s="43" t="s">
        <v>194</v>
      </c>
      <c r="S19" s="48">
        <v>471.0</v>
      </c>
      <c r="T19" s="1"/>
      <c r="U19" s="82" t="s">
        <v>202</v>
      </c>
      <c r="V19" s="62">
        <v>159.0</v>
      </c>
      <c r="W19" s="62">
        <v>73.91</v>
      </c>
      <c r="X19" s="62">
        <v>50.43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1"/>
      <c r="B20" s="89" t="str">
        <f t="shared" ref="B20:N20" si="5">if($O7,B7,"")</f>
        <v>cpc</v>
      </c>
      <c r="C20" s="89">
        <f t="shared" si="5"/>
        <v>4366</v>
      </c>
      <c r="D20" s="89">
        <f t="shared" si="5"/>
        <v>4779</v>
      </c>
      <c r="E20" s="89">
        <f t="shared" si="5"/>
        <v>4739</v>
      </c>
      <c r="F20" s="89">
        <f t="shared" si="5"/>
        <v>4469</v>
      </c>
      <c r="G20" s="89">
        <f t="shared" si="5"/>
        <v>4687</v>
      </c>
      <c r="H20" s="89">
        <f t="shared" si="5"/>
        <v>2828</v>
      </c>
      <c r="I20" s="89">
        <f t="shared" si="5"/>
        <v>2272</v>
      </c>
      <c r="J20" s="89">
        <f t="shared" si="5"/>
        <v>3104</v>
      </c>
      <c r="K20" s="89">
        <f t="shared" si="5"/>
        <v>4672</v>
      </c>
      <c r="L20" s="89">
        <f t="shared" si="5"/>
        <v>9606</v>
      </c>
      <c r="M20" s="89">
        <f t="shared" si="5"/>
        <v>10200</v>
      </c>
      <c r="N20" s="89">
        <f t="shared" si="5"/>
        <v>6819</v>
      </c>
      <c r="O20" s="1"/>
      <c r="P20" s="1"/>
      <c r="Q20" s="43" t="s">
        <v>57</v>
      </c>
      <c r="R20" s="43" t="s">
        <v>194</v>
      </c>
      <c r="S20" s="48">
        <v>460.0</v>
      </c>
      <c r="T20" s="1"/>
      <c r="U20" s="82" t="s">
        <v>203</v>
      </c>
      <c r="V20" s="62">
        <v>131.0</v>
      </c>
      <c r="W20" s="62">
        <v>62.03</v>
      </c>
      <c r="X20" s="62">
        <v>78.48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>
      <c r="A21" s="1"/>
      <c r="B21" s="89" t="str">
        <f t="shared" ref="B21:N21" si="6">if($O8,B8,"")</f>
        <v>referral</v>
      </c>
      <c r="C21" s="89">
        <f t="shared" si="6"/>
        <v>3361</v>
      </c>
      <c r="D21" s="89">
        <f t="shared" si="6"/>
        <v>3671</v>
      </c>
      <c r="E21" s="89">
        <f t="shared" si="6"/>
        <v>4369</v>
      </c>
      <c r="F21" s="89">
        <f t="shared" si="6"/>
        <v>4004</v>
      </c>
      <c r="G21" s="89">
        <f t="shared" si="6"/>
        <v>3460</v>
      </c>
      <c r="H21" s="89">
        <f t="shared" si="6"/>
        <v>4505</v>
      </c>
      <c r="I21" s="89">
        <f t="shared" si="6"/>
        <v>4022</v>
      </c>
      <c r="J21" s="89">
        <f t="shared" si="6"/>
        <v>2621</v>
      </c>
      <c r="K21" s="89">
        <f t="shared" si="6"/>
        <v>3706</v>
      </c>
      <c r="L21" s="89">
        <f t="shared" si="6"/>
        <v>2759</v>
      </c>
      <c r="M21" s="89">
        <f t="shared" si="6"/>
        <v>2547</v>
      </c>
      <c r="N21" s="89">
        <f t="shared" si="6"/>
        <v>5810</v>
      </c>
      <c r="O21" s="1"/>
      <c r="P21" s="1"/>
      <c r="Q21" s="43" t="s">
        <v>140</v>
      </c>
      <c r="R21" s="43" t="s">
        <v>194</v>
      </c>
      <c r="S21" s="48">
        <v>448.0</v>
      </c>
      <c r="T21" s="1"/>
      <c r="U21" s="82" t="s">
        <v>203</v>
      </c>
      <c r="V21" s="62">
        <v>117.0</v>
      </c>
      <c r="W21" s="62">
        <v>65.02</v>
      </c>
      <c r="X21" s="62">
        <v>32.02</v>
      </c>
      <c r="Y21" s="1"/>
      <c r="Z21" s="31"/>
      <c r="AA21" s="31"/>
      <c r="AB21" s="3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>
      <c r="A22" s="1"/>
      <c r="B22" s="89" t="str">
        <f t="shared" ref="B22:N22" si="7">if($O9,B9,"")</f>
        <v>social</v>
      </c>
      <c r="C22" s="89">
        <f t="shared" si="7"/>
        <v>122</v>
      </c>
      <c r="D22" s="89">
        <f t="shared" si="7"/>
        <v>147</v>
      </c>
      <c r="E22" s="89">
        <f t="shared" si="7"/>
        <v>94</v>
      </c>
      <c r="F22" s="89">
        <f t="shared" si="7"/>
        <v>105</v>
      </c>
      <c r="G22" s="89">
        <f t="shared" si="7"/>
        <v>87</v>
      </c>
      <c r="H22" s="89">
        <f t="shared" si="7"/>
        <v>101</v>
      </c>
      <c r="I22" s="89">
        <f t="shared" si="7"/>
        <v>228</v>
      </c>
      <c r="J22" s="89">
        <f t="shared" si="7"/>
        <v>322</v>
      </c>
      <c r="K22" s="89">
        <f t="shared" si="7"/>
        <v>292</v>
      </c>
      <c r="L22" s="89">
        <f t="shared" si="7"/>
        <v>721</v>
      </c>
      <c r="M22" s="89">
        <f t="shared" si="7"/>
        <v>1049</v>
      </c>
      <c r="N22" s="89">
        <f t="shared" si="7"/>
        <v>753</v>
      </c>
      <c r="O22" s="1"/>
      <c r="P22" s="1"/>
      <c r="Q22" s="43" t="s">
        <v>131</v>
      </c>
      <c r="R22" s="43" t="s">
        <v>194</v>
      </c>
      <c r="S22" s="48">
        <v>435.0</v>
      </c>
      <c r="T22" s="1"/>
      <c r="U22" s="82" t="s">
        <v>203</v>
      </c>
      <c r="V22" s="62">
        <v>99.0</v>
      </c>
      <c r="W22" s="62">
        <v>93.52</v>
      </c>
      <c r="X22" s="62">
        <v>81.48</v>
      </c>
      <c r="Y22" s="1"/>
      <c r="Z22" s="31"/>
      <c r="AA22" s="65"/>
      <c r="AB22" s="65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>
      <c r="A23" s="1"/>
      <c r="B23" s="89" t="str">
        <f t="shared" ref="B23:N23" si="8">if($O10,B10,"")</f>
        <v>paid</v>
      </c>
      <c r="C23" s="89" t="str">
        <f t="shared" si="8"/>
        <v/>
      </c>
      <c r="D23" s="89" t="str">
        <f t="shared" si="8"/>
        <v/>
      </c>
      <c r="E23" s="89" t="str">
        <f t="shared" si="8"/>
        <v/>
      </c>
      <c r="F23" s="89">
        <f t="shared" si="8"/>
        <v>42</v>
      </c>
      <c r="G23" s="89">
        <f t="shared" si="8"/>
        <v>537</v>
      </c>
      <c r="H23" s="89">
        <f t="shared" si="8"/>
        <v>744</v>
      </c>
      <c r="I23" s="89">
        <f t="shared" si="8"/>
        <v>460</v>
      </c>
      <c r="J23" s="89">
        <f t="shared" si="8"/>
        <v>311</v>
      </c>
      <c r="K23" s="89">
        <f t="shared" si="8"/>
        <v>132</v>
      </c>
      <c r="L23" s="89">
        <f t="shared" si="8"/>
        <v>113</v>
      </c>
      <c r="M23" s="89">
        <f t="shared" si="8"/>
        <v>76</v>
      </c>
      <c r="N23" s="89">
        <f t="shared" si="8"/>
        <v>52</v>
      </c>
      <c r="O23" s="1"/>
      <c r="P23" s="1"/>
      <c r="Q23" s="43" t="s">
        <v>57</v>
      </c>
      <c r="R23" s="43" t="s">
        <v>194</v>
      </c>
      <c r="S23" s="48">
        <v>434.0</v>
      </c>
      <c r="T23" s="1"/>
      <c r="U23" s="82" t="s">
        <v>203</v>
      </c>
      <c r="V23" s="62">
        <v>91.0</v>
      </c>
      <c r="W23" s="62">
        <v>63.19</v>
      </c>
      <c r="X23" s="62">
        <v>7.64</v>
      </c>
      <c r="Y23" s="1"/>
      <c r="Z23" s="31"/>
      <c r="AA23" s="65"/>
      <c r="AB23" s="65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>
      <c r="A24" s="1"/>
      <c r="B24" s="89" t="str">
        <f t="shared" ref="B24:N24" si="9">if($O11,B11,"")</f>
        <v/>
      </c>
      <c r="C24" s="89" t="str">
        <f t="shared" si="9"/>
        <v/>
      </c>
      <c r="D24" s="89" t="str">
        <f t="shared" si="9"/>
        <v/>
      </c>
      <c r="E24" s="89" t="str">
        <f t="shared" si="9"/>
        <v/>
      </c>
      <c r="F24" s="89" t="str">
        <f t="shared" si="9"/>
        <v/>
      </c>
      <c r="G24" s="89" t="str">
        <f t="shared" si="9"/>
        <v/>
      </c>
      <c r="H24" s="89" t="str">
        <f t="shared" si="9"/>
        <v/>
      </c>
      <c r="I24" s="89" t="str">
        <f t="shared" si="9"/>
        <v/>
      </c>
      <c r="J24" s="89" t="str">
        <f t="shared" si="9"/>
        <v/>
      </c>
      <c r="K24" s="89" t="str">
        <f t="shared" si="9"/>
        <v/>
      </c>
      <c r="L24" s="89" t="str">
        <f t="shared" si="9"/>
        <v/>
      </c>
      <c r="M24" s="89" t="str">
        <f t="shared" si="9"/>
        <v/>
      </c>
      <c r="N24" s="89" t="str">
        <f t="shared" si="9"/>
        <v/>
      </c>
      <c r="O24" s="1"/>
      <c r="P24" s="1"/>
      <c r="Q24" s="43" t="s">
        <v>57</v>
      </c>
      <c r="R24" s="43" t="s">
        <v>194</v>
      </c>
      <c r="S24" s="48">
        <v>426.0</v>
      </c>
      <c r="T24" s="1"/>
      <c r="U24" s="82" t="s">
        <v>203</v>
      </c>
      <c r="V24" s="62">
        <v>86.0</v>
      </c>
      <c r="W24" s="62">
        <v>82.42</v>
      </c>
      <c r="X24" s="62">
        <v>87.91</v>
      </c>
      <c r="Y24" s="1"/>
      <c r="Z24" s="31"/>
      <c r="AA24" s="65"/>
      <c r="AB24" s="65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>
      <c r="A25" s="1"/>
      <c r="B25" s="89" t="str">
        <f t="shared" ref="B25:N25" si="10">if($O12,B12,"")</f>
        <v/>
      </c>
      <c r="C25" s="89" t="str">
        <f t="shared" si="10"/>
        <v/>
      </c>
      <c r="D25" s="89" t="str">
        <f t="shared" si="10"/>
        <v/>
      </c>
      <c r="E25" s="89" t="str">
        <f t="shared" si="10"/>
        <v/>
      </c>
      <c r="F25" s="89" t="str">
        <f t="shared" si="10"/>
        <v/>
      </c>
      <c r="G25" s="89" t="str">
        <f t="shared" si="10"/>
        <v/>
      </c>
      <c r="H25" s="89" t="str">
        <f t="shared" si="10"/>
        <v/>
      </c>
      <c r="I25" s="89" t="str">
        <f t="shared" si="10"/>
        <v/>
      </c>
      <c r="J25" s="89" t="str">
        <f t="shared" si="10"/>
        <v/>
      </c>
      <c r="K25" s="89" t="str">
        <f t="shared" si="10"/>
        <v/>
      </c>
      <c r="L25" s="89" t="str">
        <f t="shared" si="10"/>
        <v/>
      </c>
      <c r="M25" s="89" t="str">
        <f t="shared" si="10"/>
        <v/>
      </c>
      <c r="N25" s="89" t="str">
        <f t="shared" si="10"/>
        <v/>
      </c>
      <c r="O25" s="1"/>
      <c r="P25" s="1"/>
      <c r="Q25" s="43" t="s">
        <v>176</v>
      </c>
      <c r="R25" s="43" t="s">
        <v>194</v>
      </c>
      <c r="S25" s="48">
        <v>417.0</v>
      </c>
      <c r="T25" s="1"/>
      <c r="U25" s="82" t="s">
        <v>203</v>
      </c>
      <c r="V25" s="62">
        <v>82.0</v>
      </c>
      <c r="W25" s="62">
        <v>29.9</v>
      </c>
      <c r="X25" s="62">
        <v>69.07</v>
      </c>
      <c r="Y25" s="1"/>
      <c r="Z25" s="31"/>
      <c r="AA25" s="65"/>
      <c r="AB25" s="65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>
      <c r="A26" s="1"/>
      <c r="B26" s="89" t="str">
        <f t="shared" ref="B26:N26" si="11">if($O13,B13,"")</f>
        <v/>
      </c>
      <c r="C26" s="89" t="str">
        <f t="shared" si="11"/>
        <v/>
      </c>
      <c r="D26" s="89" t="str">
        <f t="shared" si="11"/>
        <v/>
      </c>
      <c r="E26" s="89" t="str">
        <f t="shared" si="11"/>
        <v/>
      </c>
      <c r="F26" s="89" t="str">
        <f t="shared" si="11"/>
        <v/>
      </c>
      <c r="G26" s="89" t="str">
        <f t="shared" si="11"/>
        <v/>
      </c>
      <c r="H26" s="89" t="str">
        <f t="shared" si="11"/>
        <v/>
      </c>
      <c r="I26" s="89" t="str">
        <f t="shared" si="11"/>
        <v/>
      </c>
      <c r="J26" s="89" t="str">
        <f t="shared" si="11"/>
        <v/>
      </c>
      <c r="K26" s="89" t="str">
        <f t="shared" si="11"/>
        <v/>
      </c>
      <c r="L26" s="89" t="str">
        <f t="shared" si="11"/>
        <v/>
      </c>
      <c r="M26" s="89" t="str">
        <f t="shared" si="11"/>
        <v/>
      </c>
      <c r="N26" s="89" t="str">
        <f t="shared" si="11"/>
        <v/>
      </c>
      <c r="O26" s="1"/>
      <c r="P26" s="1"/>
      <c r="Q26" s="43" t="s">
        <v>57</v>
      </c>
      <c r="R26" s="43" t="s">
        <v>194</v>
      </c>
      <c r="S26" s="48">
        <v>415.0</v>
      </c>
      <c r="T26" s="1"/>
      <c r="U26" s="82" t="s">
        <v>203</v>
      </c>
      <c r="V26" s="62">
        <v>77.0</v>
      </c>
      <c r="W26" s="62">
        <v>61.29</v>
      </c>
      <c r="X26" s="62">
        <v>69.89</v>
      </c>
      <c r="Y26" s="1"/>
      <c r="Z26" s="31"/>
      <c r="AA26" s="65"/>
      <c r="AB26" s="65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>
      <c r="A27" s="1"/>
      <c r="B27" s="89" t="str">
        <f t="shared" ref="B27:N27" si="12">if($O14,B14,"")</f>
        <v/>
      </c>
      <c r="C27" s="89" t="str">
        <f t="shared" si="12"/>
        <v/>
      </c>
      <c r="D27" s="89" t="str">
        <f t="shared" si="12"/>
        <v/>
      </c>
      <c r="E27" s="89" t="str">
        <f t="shared" si="12"/>
        <v/>
      </c>
      <c r="F27" s="89" t="str">
        <f t="shared" si="12"/>
        <v/>
      </c>
      <c r="G27" s="89" t="str">
        <f t="shared" si="12"/>
        <v/>
      </c>
      <c r="H27" s="89" t="str">
        <f t="shared" si="12"/>
        <v/>
      </c>
      <c r="I27" s="89" t="str">
        <f t="shared" si="12"/>
        <v/>
      </c>
      <c r="J27" s="89" t="str">
        <f t="shared" si="12"/>
        <v/>
      </c>
      <c r="K27" s="89" t="str">
        <f t="shared" si="12"/>
        <v/>
      </c>
      <c r="L27" s="89" t="str">
        <f t="shared" si="12"/>
        <v/>
      </c>
      <c r="M27" s="89" t="str">
        <f t="shared" si="12"/>
        <v/>
      </c>
      <c r="N27" s="89" t="str">
        <f t="shared" si="12"/>
        <v/>
      </c>
      <c r="O27" s="1"/>
      <c r="P27" s="1"/>
      <c r="Q27" s="43" t="s">
        <v>57</v>
      </c>
      <c r="R27" s="43" t="s">
        <v>194</v>
      </c>
      <c r="S27" s="48">
        <v>412.0</v>
      </c>
      <c r="T27" s="1"/>
      <c r="U27" s="82" t="s">
        <v>204</v>
      </c>
      <c r="V27" s="62">
        <v>74.0</v>
      </c>
      <c r="W27" s="62">
        <v>60.22</v>
      </c>
      <c r="X27" s="62">
        <v>49.46</v>
      </c>
      <c r="Y27" s="1"/>
      <c r="Z27" s="31"/>
      <c r="AA27" s="65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>
      <c r="A28" s="1"/>
      <c r="B28" s="9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43" t="s">
        <v>131</v>
      </c>
      <c r="R28" s="43" t="s">
        <v>194</v>
      </c>
      <c r="S28" s="48">
        <v>395.0</v>
      </c>
      <c r="T28" s="1"/>
      <c r="U28" s="82" t="s">
        <v>204</v>
      </c>
      <c r="V28" s="62">
        <v>62.0</v>
      </c>
      <c r="W28" s="62">
        <v>72.0</v>
      </c>
      <c r="X28" s="62">
        <v>16.0</v>
      </c>
      <c r="Y28" s="1"/>
      <c r="Z28" s="31"/>
      <c r="AA28" s="65"/>
      <c r="AB28" s="65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>
      <c r="A29" s="1"/>
      <c r="B29" s="35" t="s">
        <v>205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1"/>
      <c r="P29" s="1"/>
      <c r="Q29" s="43" t="s">
        <v>131</v>
      </c>
      <c r="R29" s="43" t="s">
        <v>194</v>
      </c>
      <c r="S29" s="48">
        <v>353.0</v>
      </c>
      <c r="T29" s="1"/>
      <c r="U29" s="82" t="s">
        <v>204</v>
      </c>
      <c r="V29" s="62">
        <v>61.0</v>
      </c>
      <c r="W29" s="62">
        <v>69.86</v>
      </c>
      <c r="X29" s="62">
        <v>26.03</v>
      </c>
      <c r="Y29" s="1"/>
      <c r="Z29" s="31"/>
      <c r="AA29" s="65"/>
      <c r="AB29" s="65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>
      <c r="A30" s="1"/>
      <c r="B30" s="86" t="s">
        <v>19</v>
      </c>
      <c r="C30" s="86" t="s">
        <v>28</v>
      </c>
      <c r="D30" s="86" t="s">
        <v>29</v>
      </c>
      <c r="E30" s="86" t="s">
        <v>30</v>
      </c>
      <c r="F30" s="86" t="s">
        <v>31</v>
      </c>
      <c r="G30" s="86" t="s">
        <v>32</v>
      </c>
      <c r="H30" s="86" t="s">
        <v>33</v>
      </c>
      <c r="I30" s="86" t="s">
        <v>34</v>
      </c>
      <c r="J30" s="86" t="s">
        <v>35</v>
      </c>
      <c r="K30" s="86" t="s">
        <v>36</v>
      </c>
      <c r="L30" s="86" t="s">
        <v>37</v>
      </c>
      <c r="M30" s="86" t="s">
        <v>38</v>
      </c>
      <c r="N30" s="86" t="s">
        <v>39</v>
      </c>
      <c r="O30" s="1"/>
      <c r="P30" s="1"/>
      <c r="Q30" s="43" t="s">
        <v>57</v>
      </c>
      <c r="R30" s="43" t="s">
        <v>194</v>
      </c>
      <c r="S30" s="48">
        <v>349.0</v>
      </c>
      <c r="T30" s="1"/>
      <c r="U30" s="82" t="s">
        <v>204</v>
      </c>
      <c r="V30" s="62">
        <v>57.0</v>
      </c>
      <c r="W30" s="62">
        <v>55.22</v>
      </c>
      <c r="X30" s="62">
        <v>76.12</v>
      </c>
      <c r="Y30" s="1"/>
      <c r="Z30" s="31"/>
      <c r="AA30" s="65"/>
      <c r="AB30" s="65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>
      <c r="A31" s="1"/>
      <c r="B31" s="45" t="s">
        <v>57</v>
      </c>
      <c r="C31" s="62">
        <v>9468.0</v>
      </c>
      <c r="D31" s="62">
        <v>9187.0</v>
      </c>
      <c r="E31" s="62">
        <v>8270.0</v>
      </c>
      <c r="F31" s="62">
        <v>10773.0</v>
      </c>
      <c r="G31" s="62">
        <v>11389.0</v>
      </c>
      <c r="H31" s="62">
        <v>10727.0</v>
      </c>
      <c r="I31" s="62">
        <v>9162.0</v>
      </c>
      <c r="J31" s="62">
        <v>9509.0</v>
      </c>
      <c r="K31" s="62">
        <v>9356.0</v>
      </c>
      <c r="L31" s="62">
        <v>9368.0</v>
      </c>
      <c r="M31" s="62">
        <v>10412.0</v>
      </c>
      <c r="N31" s="62">
        <v>12635.0</v>
      </c>
      <c r="O31" s="1"/>
      <c r="P31" s="1"/>
      <c r="Q31" s="43" t="s">
        <v>131</v>
      </c>
      <c r="R31" s="43" t="s">
        <v>194</v>
      </c>
      <c r="S31" s="48">
        <v>342.0</v>
      </c>
      <c r="T31" s="1"/>
      <c r="U31" s="82" t="s">
        <v>204</v>
      </c>
      <c r="V31" s="62">
        <v>50.0</v>
      </c>
      <c r="W31" s="62">
        <v>36.05</v>
      </c>
      <c r="X31" s="62">
        <v>15.12</v>
      </c>
      <c r="Y31" s="1"/>
      <c r="Z31" s="31"/>
      <c r="AA31" s="65"/>
      <c r="AB31" s="65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>
      <c r="A32" s="1"/>
      <c r="B32" s="45" t="s">
        <v>131</v>
      </c>
      <c r="C32" s="62">
        <v>5405.0</v>
      </c>
      <c r="D32" s="62">
        <v>5518.0</v>
      </c>
      <c r="E32" s="62">
        <v>5319.0</v>
      </c>
      <c r="F32" s="62">
        <v>6473.0</v>
      </c>
      <c r="G32" s="62">
        <v>5771.0</v>
      </c>
      <c r="H32" s="62">
        <v>7234.0</v>
      </c>
      <c r="I32" s="62">
        <v>6360.0</v>
      </c>
      <c r="J32" s="62">
        <v>7287.0</v>
      </c>
      <c r="K32" s="62">
        <v>7761.0</v>
      </c>
      <c r="L32" s="62">
        <v>7510.0</v>
      </c>
      <c r="M32" s="62">
        <v>7629.0</v>
      </c>
      <c r="N32" s="62">
        <v>10284.0</v>
      </c>
      <c r="O32" s="1"/>
      <c r="P32" s="1"/>
      <c r="Q32" s="43" t="s">
        <v>131</v>
      </c>
      <c r="R32" s="43" t="s">
        <v>194</v>
      </c>
      <c r="S32" s="48">
        <v>330.0</v>
      </c>
      <c r="T32" s="1"/>
      <c r="U32" s="82" t="s">
        <v>204</v>
      </c>
      <c r="V32" s="62">
        <v>49.0</v>
      </c>
      <c r="W32" s="62">
        <v>80.95</v>
      </c>
      <c r="X32" s="62">
        <v>60.32</v>
      </c>
      <c r="Y32" s="1"/>
      <c r="Z32" s="31"/>
      <c r="AA32" s="65"/>
      <c r="AB32" s="65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>
      <c r="A33" s="1"/>
      <c r="B33" s="45" t="s">
        <v>136</v>
      </c>
      <c r="C33" s="62"/>
      <c r="D33" s="62"/>
      <c r="E33" s="62"/>
      <c r="F33" s="62">
        <v>42.0</v>
      </c>
      <c r="G33" s="62">
        <v>537.0</v>
      </c>
      <c r="H33" s="62">
        <v>744.0</v>
      </c>
      <c r="I33" s="62">
        <v>313.0</v>
      </c>
      <c r="J33" s="62">
        <v>645.0</v>
      </c>
      <c r="K33" s="62">
        <v>824.0</v>
      </c>
      <c r="L33" s="62">
        <v>5985.0</v>
      </c>
      <c r="M33" s="62">
        <v>5788.0</v>
      </c>
      <c r="N33" s="62">
        <v>3748.0</v>
      </c>
      <c r="O33" s="1"/>
      <c r="P33" s="1"/>
      <c r="Q33" s="43" t="s">
        <v>57</v>
      </c>
      <c r="R33" s="43" t="s">
        <v>194</v>
      </c>
      <c r="S33" s="48">
        <v>288.0</v>
      </c>
      <c r="T33" s="1"/>
      <c r="U33" s="82" t="s">
        <v>206</v>
      </c>
      <c r="V33" s="62">
        <v>48.0</v>
      </c>
      <c r="W33" s="62">
        <v>69.64</v>
      </c>
      <c r="X33" s="62">
        <v>37.5</v>
      </c>
      <c r="Y33" s="1"/>
      <c r="Z33" s="31"/>
      <c r="AA33" s="65"/>
      <c r="AB33" s="65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>
      <c r="A34" s="1"/>
      <c r="B34" s="45" t="s">
        <v>140</v>
      </c>
      <c r="C34" s="85"/>
      <c r="D34" s="85"/>
      <c r="E34" s="85"/>
      <c r="F34" s="85"/>
      <c r="G34" s="85"/>
      <c r="H34" s="85"/>
      <c r="I34" s="85"/>
      <c r="J34" s="62">
        <v>1408.0</v>
      </c>
      <c r="K34" s="62">
        <v>2936.0</v>
      </c>
      <c r="L34" s="62">
        <v>2848.0</v>
      </c>
      <c r="M34" s="62">
        <v>3189.0</v>
      </c>
      <c r="N34" s="62">
        <v>1839.0</v>
      </c>
      <c r="O34" s="1"/>
      <c r="P34" s="1"/>
      <c r="Q34" s="91"/>
      <c r="R34" s="91"/>
      <c r="S34" s="92"/>
      <c r="T34" s="1"/>
      <c r="U34" s="31"/>
      <c r="V34" s="65"/>
      <c r="W34" s="65"/>
      <c r="X34" s="65"/>
      <c r="Y34" s="1"/>
      <c r="Z34" s="31"/>
      <c r="AA34" s="65"/>
      <c r="AB34" s="65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>
      <c r="A35" s="1"/>
      <c r="B35" s="45" t="s">
        <v>140</v>
      </c>
      <c r="C35" s="62">
        <v>1501.0</v>
      </c>
      <c r="D35" s="62">
        <v>1770.0</v>
      </c>
      <c r="E35" s="62">
        <v>1494.0</v>
      </c>
      <c r="F35" s="62">
        <v>1943.0</v>
      </c>
      <c r="G35" s="62">
        <v>1947.0</v>
      </c>
      <c r="H35" s="62">
        <v>2439.0</v>
      </c>
      <c r="I35" s="62">
        <v>2109.0</v>
      </c>
      <c r="J35" s="62">
        <v>611.0</v>
      </c>
      <c r="K35" s="62">
        <v>233.0</v>
      </c>
      <c r="L35" s="62">
        <v>163.0</v>
      </c>
      <c r="M35" s="62">
        <v>97.0</v>
      </c>
      <c r="N35" s="62">
        <v>38.0</v>
      </c>
      <c r="O35" s="1"/>
      <c r="P35" s="1"/>
      <c r="Q35" s="91"/>
      <c r="R35" s="91"/>
      <c r="S35" s="92"/>
      <c r="T35" s="1"/>
      <c r="U35" s="31"/>
      <c r="V35" s="65"/>
      <c r="W35" s="65"/>
      <c r="X35" s="65"/>
      <c r="Y35" s="1"/>
      <c r="Z35" s="31"/>
      <c r="AA35" s="65"/>
      <c r="AB35" s="65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>
      <c r="A36" s="1"/>
      <c r="B36" s="45" t="s">
        <v>140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>
        <v>2.0</v>
      </c>
      <c r="N36" s="62">
        <v>1546.0</v>
      </c>
      <c r="O36" s="1"/>
      <c r="P36" s="1"/>
      <c r="Q36" s="91"/>
      <c r="R36" s="91"/>
      <c r="S36" s="92"/>
      <c r="T36" s="1"/>
      <c r="U36" s="31"/>
      <c r="V36" s="65"/>
      <c r="W36" s="65"/>
      <c r="X36" s="65"/>
      <c r="Y36" s="1"/>
      <c r="Z36" s="31"/>
      <c r="AA36" s="65"/>
      <c r="AB36" s="65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>
      <c r="A37" s="1"/>
      <c r="B37" s="82" t="s">
        <v>200</v>
      </c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>
        <v>1276.0</v>
      </c>
      <c r="O37" s="1"/>
      <c r="P37" s="1"/>
      <c r="Q37" s="91"/>
      <c r="R37" s="91"/>
      <c r="S37" s="92"/>
      <c r="T37" s="1"/>
      <c r="U37" s="31"/>
      <c r="V37" s="65"/>
      <c r="W37" s="65"/>
      <c r="X37" s="65"/>
      <c r="Y37" s="1"/>
      <c r="Z37" s="31"/>
      <c r="AA37" s="65"/>
      <c r="AB37" s="65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>
      <c r="A38" s="1"/>
      <c r="B38" s="82" t="s">
        <v>200</v>
      </c>
      <c r="C38" s="85"/>
      <c r="D38" s="85"/>
      <c r="E38" s="85"/>
      <c r="F38" s="85"/>
      <c r="G38" s="85"/>
      <c r="H38" s="85"/>
      <c r="I38" s="85"/>
      <c r="J38" s="85"/>
      <c r="K38" s="62">
        <v>766.0</v>
      </c>
      <c r="L38" s="62">
        <v>473.0</v>
      </c>
      <c r="M38" s="62">
        <v>133.0</v>
      </c>
      <c r="N38" s="62">
        <v>99.0</v>
      </c>
      <c r="O38" s="1"/>
      <c r="P38" s="1"/>
      <c r="Q38" s="91"/>
      <c r="R38" s="91"/>
      <c r="S38" s="92"/>
      <c r="T38" s="1"/>
      <c r="U38" s="31"/>
      <c r="V38" s="65"/>
      <c r="W38" s="65"/>
      <c r="X38" s="65"/>
      <c r="Y38" s="1"/>
      <c r="Z38" s="31"/>
      <c r="AA38" s="65"/>
      <c r="AB38" s="65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>
      <c r="A39" s="1"/>
      <c r="B39" s="82" t="s">
        <v>200</v>
      </c>
      <c r="C39" s="62">
        <v>120.0</v>
      </c>
      <c r="D39" s="62">
        <v>100.0</v>
      </c>
      <c r="E39" s="62">
        <v>694.0</v>
      </c>
      <c r="F39" s="62">
        <v>46.0</v>
      </c>
      <c r="G39" s="62">
        <v>54.0</v>
      </c>
      <c r="H39" s="62">
        <v>43.0</v>
      </c>
      <c r="I39" s="62">
        <v>84.0</v>
      </c>
      <c r="J39" s="62">
        <v>134.0</v>
      </c>
      <c r="K39" s="62">
        <v>144.0</v>
      </c>
      <c r="L39" s="62">
        <v>406.0</v>
      </c>
      <c r="M39" s="62">
        <v>594.0</v>
      </c>
      <c r="N39" s="62">
        <v>225.0</v>
      </c>
      <c r="O39" s="1"/>
      <c r="P39" s="1"/>
      <c r="Q39" s="91"/>
      <c r="R39" s="91"/>
      <c r="S39" s="92"/>
      <c r="T39" s="1"/>
      <c r="U39" s="31"/>
      <c r="V39" s="65"/>
      <c r="W39" s="65"/>
      <c r="X39" s="65"/>
      <c r="Y39" s="1"/>
      <c r="Z39" s="31"/>
      <c r="AA39" s="65"/>
      <c r="AB39" s="65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>
      <c r="A40" s="1"/>
      <c r="B40" s="82" t="s">
        <v>207</v>
      </c>
      <c r="C40" s="62">
        <v>14.0</v>
      </c>
      <c r="D40" s="62">
        <v>162.0</v>
      </c>
      <c r="E40" s="62">
        <v>685.0</v>
      </c>
      <c r="F40" s="62">
        <v>18.0</v>
      </c>
      <c r="G40" s="62">
        <v>51.0</v>
      </c>
      <c r="H40" s="62">
        <v>14.0</v>
      </c>
      <c r="I40" s="62">
        <v>55.0</v>
      </c>
      <c r="J40" s="62">
        <v>61.0</v>
      </c>
      <c r="K40" s="62">
        <v>121.0</v>
      </c>
      <c r="L40" s="62">
        <v>44.0</v>
      </c>
      <c r="M40" s="62">
        <v>164.0</v>
      </c>
      <c r="N40" s="62">
        <v>43.0</v>
      </c>
      <c r="O40" s="1"/>
      <c r="P40" s="1"/>
      <c r="Q40" s="91"/>
      <c r="R40" s="91"/>
      <c r="S40" s="92"/>
      <c r="T40" s="1"/>
      <c r="U40" s="31"/>
      <c r="V40" s="65"/>
      <c r="W40" s="65"/>
      <c r="X40" s="65"/>
      <c r="Y40" s="1"/>
      <c r="Z40" s="31"/>
      <c r="AA40" s="65"/>
      <c r="AB40" s="65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>
      <c r="A41" s="1"/>
      <c r="B41" s="45" t="s">
        <v>176</v>
      </c>
      <c r="C41" s="62">
        <v>10.0</v>
      </c>
      <c r="D41" s="62">
        <v>11.0</v>
      </c>
      <c r="E41" s="62">
        <v>2.0</v>
      </c>
      <c r="F41" s="62">
        <v>5.0</v>
      </c>
      <c r="G41" s="62">
        <v>4.0</v>
      </c>
      <c r="H41" s="62">
        <v>11.0</v>
      </c>
      <c r="I41" s="62">
        <v>29.0</v>
      </c>
      <c r="J41" s="62">
        <v>276.0</v>
      </c>
      <c r="K41" s="62">
        <v>384.0</v>
      </c>
      <c r="L41" s="62">
        <v>504.0</v>
      </c>
      <c r="M41" s="62">
        <v>652.0</v>
      </c>
      <c r="N41" s="62">
        <v>359.0</v>
      </c>
      <c r="O41" s="1"/>
      <c r="P41" s="1"/>
      <c r="Q41" s="91"/>
      <c r="R41" s="91"/>
      <c r="S41" s="92"/>
      <c r="T41" s="1"/>
      <c r="U41" s="31"/>
      <c r="V41" s="65"/>
      <c r="W41" s="65"/>
      <c r="X41" s="65"/>
      <c r="Y41" s="1"/>
      <c r="Z41" s="31"/>
      <c r="AA41" s="65"/>
      <c r="AB41" s="65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>
      <c r="A42" s="1"/>
      <c r="B42" s="45" t="s">
        <v>176</v>
      </c>
      <c r="C42" s="62"/>
      <c r="D42" s="62"/>
      <c r="E42" s="62"/>
      <c r="F42" s="62">
        <v>557.0</v>
      </c>
      <c r="G42" s="62">
        <v>55.0</v>
      </c>
      <c r="H42" s="62">
        <v>17.0</v>
      </c>
      <c r="I42" s="62">
        <v>9.0</v>
      </c>
      <c r="J42" s="62">
        <v>5.0</v>
      </c>
      <c r="K42" s="62">
        <v>3.0</v>
      </c>
      <c r="L42" s="62">
        <v>2.0</v>
      </c>
      <c r="M42" s="62">
        <v>2.0</v>
      </c>
      <c r="N42" s="62"/>
      <c r="O42" s="1"/>
      <c r="P42" s="1"/>
      <c r="Q42" s="91"/>
      <c r="R42" s="91"/>
      <c r="S42" s="92"/>
      <c r="T42" s="1"/>
      <c r="U42" s="31"/>
      <c r="V42" s="65"/>
      <c r="W42" s="65"/>
      <c r="X42" s="65"/>
      <c r="Y42" s="1"/>
      <c r="Z42" s="31"/>
      <c r="AA42" s="65"/>
      <c r="AB42" s="65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>
      <c r="A43" s="1"/>
      <c r="B43" s="45" t="s">
        <v>176</v>
      </c>
      <c r="C43" s="62"/>
      <c r="D43" s="62"/>
      <c r="E43" s="62"/>
      <c r="F43" s="62"/>
      <c r="G43" s="62"/>
      <c r="H43" s="62"/>
      <c r="I43" s="62"/>
      <c r="J43" s="62"/>
      <c r="K43" s="62">
        <v>555.0</v>
      </c>
      <c r="L43" s="62">
        <v>355.0</v>
      </c>
      <c r="M43" s="62">
        <v>233.0</v>
      </c>
      <c r="N43" s="62">
        <v>229.0</v>
      </c>
      <c r="O43" s="1"/>
      <c r="P43" s="1"/>
      <c r="Q43" s="91"/>
      <c r="R43" s="91"/>
      <c r="S43" s="92"/>
      <c r="T43" s="1"/>
      <c r="U43" s="31"/>
      <c r="V43" s="65"/>
      <c r="W43" s="65"/>
      <c r="X43" s="65"/>
      <c r="Y43" s="1"/>
      <c r="Z43" s="31"/>
      <c r="AA43" s="65"/>
      <c r="AB43" s="65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>
      <c r="A44" s="1"/>
      <c r="B44" s="82" t="s">
        <v>208</v>
      </c>
      <c r="C44" s="62">
        <v>499.0</v>
      </c>
      <c r="D44" s="62">
        <v>58.0</v>
      </c>
      <c r="E44" s="62">
        <v>15.0</v>
      </c>
      <c r="F44" s="62">
        <v>5.0</v>
      </c>
      <c r="G44" s="62">
        <v>8.0</v>
      </c>
      <c r="H44" s="62">
        <v>4.0</v>
      </c>
      <c r="I44" s="62">
        <v>6.0</v>
      </c>
      <c r="J44" s="62">
        <v>4.0</v>
      </c>
      <c r="K44" s="62">
        <v>6.0</v>
      </c>
      <c r="L44" s="62">
        <v>16.0</v>
      </c>
      <c r="M44" s="62">
        <v>6.0</v>
      </c>
      <c r="N44" s="62">
        <v>24.0</v>
      </c>
      <c r="O44" s="1"/>
      <c r="P44" s="1"/>
      <c r="Q44" s="91"/>
      <c r="R44" s="91"/>
      <c r="S44" s="92"/>
      <c r="T44" s="1"/>
      <c r="U44" s="31"/>
      <c r="V44" s="65"/>
      <c r="W44" s="65"/>
      <c r="X44" s="65"/>
      <c r="Y44" s="1"/>
      <c r="Z44" s="31"/>
      <c r="AA44" s="65"/>
      <c r="AB44" s="65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>
      <c r="A45" s="1"/>
      <c r="B45" s="82" t="s">
        <v>160</v>
      </c>
      <c r="C45" s="62"/>
      <c r="D45" s="62">
        <v>32.0</v>
      </c>
      <c r="E45" s="62">
        <v>22.0</v>
      </c>
      <c r="F45" s="62">
        <v>11.0</v>
      </c>
      <c r="G45" s="62">
        <v>23.0</v>
      </c>
      <c r="H45" s="62">
        <v>50.0</v>
      </c>
      <c r="I45" s="62">
        <v>120.0</v>
      </c>
      <c r="J45" s="62">
        <v>152.0</v>
      </c>
      <c r="K45" s="62">
        <v>127.0</v>
      </c>
      <c r="L45" s="62">
        <v>288.0</v>
      </c>
      <c r="M45" s="62">
        <v>401.0</v>
      </c>
      <c r="N45" s="62">
        <v>488.0</v>
      </c>
      <c r="O45" s="1"/>
      <c r="P45" s="1"/>
      <c r="Q45" s="91"/>
      <c r="R45" s="91"/>
      <c r="S45" s="92"/>
      <c r="T45" s="1"/>
      <c r="U45" s="31"/>
      <c r="V45" s="65"/>
      <c r="W45" s="65"/>
      <c r="X45" s="65"/>
      <c r="Y45" s="1"/>
      <c r="Z45" s="31"/>
      <c r="AA45" s="65"/>
      <c r="AB45" s="65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>
      <c r="A46" s="1"/>
      <c r="B46" s="82" t="s">
        <v>168</v>
      </c>
      <c r="C46" s="62">
        <v>26.0</v>
      </c>
      <c r="D46" s="62">
        <v>100.0</v>
      </c>
      <c r="E46" s="62">
        <v>73.0</v>
      </c>
      <c r="F46" s="62">
        <v>140.0</v>
      </c>
      <c r="G46" s="62">
        <v>179.0</v>
      </c>
      <c r="H46" s="62">
        <v>247.0</v>
      </c>
      <c r="I46" s="62">
        <v>242.0</v>
      </c>
      <c r="J46" s="62">
        <v>249.0</v>
      </c>
      <c r="K46" s="62">
        <v>313.0</v>
      </c>
      <c r="L46" s="62">
        <v>175.0</v>
      </c>
      <c r="M46" s="62">
        <v>262.0</v>
      </c>
      <c r="N46" s="62">
        <v>428.0</v>
      </c>
      <c r="O46" s="1"/>
      <c r="P46" s="1"/>
      <c r="Q46" s="91"/>
      <c r="R46" s="91"/>
      <c r="S46" s="92"/>
      <c r="T46" s="1"/>
      <c r="U46" s="31"/>
      <c r="V46" s="65"/>
      <c r="W46" s="65"/>
      <c r="X46" s="65"/>
      <c r="Y46" s="1"/>
      <c r="Z46" s="31"/>
      <c r="AA46" s="65"/>
      <c r="AB46" s="65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>
      <c r="A47" s="1"/>
      <c r="B47" s="45" t="s">
        <v>186</v>
      </c>
      <c r="C47" s="62">
        <v>43.0</v>
      </c>
      <c r="D47" s="62">
        <v>83.0</v>
      </c>
      <c r="E47" s="62">
        <v>117.0</v>
      </c>
      <c r="F47" s="62">
        <v>233.0</v>
      </c>
      <c r="G47" s="62">
        <v>264.0</v>
      </c>
      <c r="H47" s="62">
        <v>347.0</v>
      </c>
      <c r="I47" s="62">
        <v>374.0</v>
      </c>
      <c r="J47" s="62">
        <v>243.0</v>
      </c>
      <c r="K47" s="62">
        <v>387.0</v>
      </c>
      <c r="L47" s="62">
        <v>235.0</v>
      </c>
      <c r="M47" s="62">
        <v>268.0</v>
      </c>
      <c r="N47" s="62">
        <v>333.0</v>
      </c>
      <c r="O47" s="1"/>
      <c r="P47" s="1"/>
      <c r="Q47" s="91"/>
      <c r="R47" s="91"/>
      <c r="S47" s="92"/>
      <c r="T47" s="1"/>
      <c r="U47" s="31"/>
      <c r="V47" s="65"/>
      <c r="W47" s="65"/>
      <c r="X47" s="65"/>
      <c r="Y47" s="1"/>
      <c r="Z47" s="31"/>
      <c r="AA47" s="65"/>
      <c r="AB47" s="65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>
      <c r="A48" s="1"/>
      <c r="B48" s="45" t="s">
        <v>186</v>
      </c>
      <c r="C48" s="62">
        <v>70.0</v>
      </c>
      <c r="D48" s="62">
        <v>110.0</v>
      </c>
      <c r="E48" s="62">
        <v>66.0</v>
      </c>
      <c r="F48" s="62">
        <v>55.0</v>
      </c>
      <c r="G48" s="62">
        <v>29.0</v>
      </c>
      <c r="H48" s="62">
        <v>292.0</v>
      </c>
      <c r="I48" s="62">
        <v>332.0</v>
      </c>
      <c r="J48" s="62">
        <v>103.0</v>
      </c>
      <c r="K48" s="62">
        <v>167.0</v>
      </c>
      <c r="L48" s="62">
        <v>177.0</v>
      </c>
      <c r="M48" s="62">
        <v>180.0</v>
      </c>
      <c r="N48" s="62">
        <v>356.0</v>
      </c>
      <c r="O48" s="1"/>
      <c r="P48" s="1"/>
      <c r="Q48" s="91"/>
      <c r="R48" s="91"/>
      <c r="S48" s="92"/>
      <c r="T48" s="1"/>
      <c r="U48" s="31"/>
      <c r="V48" s="65"/>
      <c r="W48" s="65"/>
      <c r="X48" s="65"/>
      <c r="Y48" s="1"/>
      <c r="Z48" s="31"/>
      <c r="AA48" s="65"/>
      <c r="AB48" s="65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>
      <c r="A49" s="1"/>
      <c r="B49" s="82" t="s">
        <v>181</v>
      </c>
      <c r="C49" s="85"/>
      <c r="D49" s="62">
        <v>342.0</v>
      </c>
      <c r="E49" s="85"/>
      <c r="F49" s="85"/>
      <c r="G49" s="85"/>
      <c r="H49" s="85"/>
      <c r="I49" s="62"/>
      <c r="J49" s="62"/>
      <c r="K49" s="62"/>
      <c r="L49" s="62"/>
      <c r="M49" s="62"/>
      <c r="N49" s="62"/>
      <c r="O49" s="1"/>
      <c r="P49" s="1"/>
      <c r="Q49" s="91"/>
      <c r="R49" s="91"/>
      <c r="S49" s="92"/>
      <c r="T49" s="1"/>
      <c r="U49" s="31"/>
      <c r="V49" s="65"/>
      <c r="W49" s="65"/>
      <c r="X49" s="65"/>
      <c r="Y49" s="1"/>
      <c r="Z49" s="31"/>
      <c r="AA49" s="65"/>
      <c r="AB49" s="65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>
      <c r="A50" s="1"/>
      <c r="B50" s="82" t="s">
        <v>181</v>
      </c>
      <c r="C50" s="85"/>
      <c r="D50" s="85"/>
      <c r="E50" s="62">
        <v>276.0</v>
      </c>
      <c r="F50" s="62"/>
      <c r="G50" s="62">
        <v>206.0</v>
      </c>
      <c r="H50" s="62"/>
      <c r="I50" s="85"/>
      <c r="J50" s="62"/>
      <c r="K50" s="85"/>
      <c r="L50" s="85"/>
      <c r="M50" s="85"/>
      <c r="N50" s="85"/>
      <c r="O50" s="1"/>
      <c r="P50" s="1"/>
      <c r="Q50" s="91"/>
      <c r="R50" s="91"/>
      <c r="S50" s="92"/>
      <c r="T50" s="1"/>
      <c r="U50" s="31"/>
      <c r="V50" s="65"/>
      <c r="W50" s="65"/>
      <c r="X50" s="65"/>
      <c r="Y50" s="1"/>
      <c r="Z50" s="31"/>
      <c r="AA50" s="65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>
      <c r="A51" s="1"/>
      <c r="B51" s="45" t="s">
        <v>209</v>
      </c>
      <c r="C51" s="62"/>
      <c r="D51" s="62"/>
      <c r="E51" s="62"/>
      <c r="F51" s="62"/>
      <c r="G51" s="62"/>
      <c r="H51" s="62"/>
      <c r="I51" s="62">
        <v>147.0</v>
      </c>
      <c r="J51" s="62">
        <v>197.0</v>
      </c>
      <c r="K51" s="62">
        <v>113.0</v>
      </c>
      <c r="L51" s="62">
        <v>165.0</v>
      </c>
      <c r="M51" s="62">
        <v>187.0</v>
      </c>
      <c r="N51" s="62">
        <v>227.0</v>
      </c>
      <c r="O51" s="1"/>
      <c r="P51" s="1"/>
      <c r="Q51" s="91"/>
      <c r="R51" s="91"/>
      <c r="S51" s="92"/>
      <c r="T51" s="1"/>
      <c r="U51" s="31"/>
      <c r="V51" s="65"/>
      <c r="W51" s="65"/>
      <c r="X51" s="65"/>
      <c r="Y51" s="1"/>
      <c r="Z51" s="31"/>
      <c r="AA51" s="65"/>
      <c r="AB51" s="65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>
      <c r="A52" s="1"/>
      <c r="B52" s="82" t="s">
        <v>196</v>
      </c>
      <c r="C52" s="62">
        <v>35.0</v>
      </c>
      <c r="D52" s="62">
        <v>22.0</v>
      </c>
      <c r="E52" s="62">
        <v>25.0</v>
      </c>
      <c r="F52" s="62">
        <v>30.0</v>
      </c>
      <c r="G52" s="62">
        <v>15.0</v>
      </c>
      <c r="H52" s="62">
        <v>41.0</v>
      </c>
      <c r="I52" s="62">
        <v>32.0</v>
      </c>
      <c r="J52" s="62">
        <v>69.0</v>
      </c>
      <c r="K52" s="62">
        <v>132.0</v>
      </c>
      <c r="L52" s="62">
        <v>154.0</v>
      </c>
      <c r="M52" s="62">
        <v>217.0</v>
      </c>
      <c r="N52" s="62">
        <v>227.0</v>
      </c>
      <c r="O52" s="1"/>
      <c r="P52" s="1"/>
      <c r="Q52" s="91"/>
      <c r="R52" s="91"/>
      <c r="S52" s="92"/>
      <c r="T52" s="1"/>
      <c r="U52" s="31"/>
      <c r="V52" s="65"/>
      <c r="W52" s="65"/>
      <c r="X52" s="65"/>
      <c r="Y52" s="1"/>
      <c r="Z52" s="31"/>
      <c r="AA52" s="65"/>
      <c r="AB52" s="65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>
      <c r="A53" s="1"/>
      <c r="B53" s="45" t="s">
        <v>209</v>
      </c>
      <c r="C53" s="85"/>
      <c r="D53" s="62">
        <v>81.0</v>
      </c>
      <c r="E53" s="62">
        <v>25.0</v>
      </c>
      <c r="F53" s="62">
        <v>214.0</v>
      </c>
      <c r="G53" s="62">
        <v>56.0</v>
      </c>
      <c r="H53" s="62">
        <v>156.0</v>
      </c>
      <c r="I53" s="62">
        <v>88.0</v>
      </c>
      <c r="J53" s="62">
        <v>77.0</v>
      </c>
      <c r="K53" s="62">
        <v>87.0</v>
      </c>
      <c r="L53" s="62">
        <v>119.0</v>
      </c>
      <c r="M53" s="62">
        <v>83.0</v>
      </c>
      <c r="N53" s="62">
        <v>77.0</v>
      </c>
      <c r="O53" s="1"/>
      <c r="P53" s="1"/>
      <c r="Q53" s="91"/>
      <c r="R53" s="91"/>
      <c r="S53" s="92"/>
      <c r="T53" s="1"/>
      <c r="U53" s="31"/>
      <c r="V53" s="65"/>
      <c r="W53" s="65"/>
      <c r="X53" s="65"/>
      <c r="Y53" s="1"/>
      <c r="Z53" s="31"/>
      <c r="AA53" s="65"/>
      <c r="AB53" s="65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>
      <c r="A54" s="1"/>
      <c r="B54" s="45" t="s">
        <v>209</v>
      </c>
      <c r="C54" s="85"/>
      <c r="D54" s="85"/>
      <c r="E54" s="85"/>
      <c r="F54" s="85"/>
      <c r="G54" s="85"/>
      <c r="H54" s="62">
        <v>194.0</v>
      </c>
      <c r="I54" s="62">
        <v>20.0</v>
      </c>
      <c r="J54" s="62">
        <v>32.0</v>
      </c>
      <c r="K54" s="62">
        <v>42.0</v>
      </c>
      <c r="L54" s="62">
        <v>48.0</v>
      </c>
      <c r="M54" s="62">
        <v>55.0</v>
      </c>
      <c r="N54" s="62">
        <v>57.0</v>
      </c>
      <c r="O54" s="1"/>
      <c r="P54" s="1"/>
      <c r="Q54" s="91"/>
      <c r="R54" s="91"/>
      <c r="S54" s="92"/>
      <c r="T54" s="1"/>
      <c r="U54" s="31"/>
      <c r="V54" s="65"/>
      <c r="W54" s="65"/>
      <c r="X54" s="65"/>
      <c r="Y54" s="1"/>
      <c r="Z54" s="31"/>
      <c r="AA54" s="65"/>
      <c r="AB54" s="65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>
      <c r="A55" s="1"/>
      <c r="B55" s="45" t="s">
        <v>209</v>
      </c>
      <c r="C55" s="62">
        <v>160.0</v>
      </c>
      <c r="D55" s="62">
        <v>4.0</v>
      </c>
      <c r="E55" s="62">
        <v>27.0</v>
      </c>
      <c r="F55" s="85"/>
      <c r="G55" s="85"/>
      <c r="H55" s="85"/>
      <c r="I55" s="85"/>
      <c r="J55" s="85"/>
      <c r="K55" s="85"/>
      <c r="L55" s="85"/>
      <c r="M55" s="85"/>
      <c r="N55" s="62"/>
      <c r="O55" s="1"/>
      <c r="P55" s="1"/>
      <c r="Q55" s="91"/>
      <c r="R55" s="91"/>
      <c r="S55" s="92"/>
      <c r="T55" s="1"/>
      <c r="U55" s="31"/>
      <c r="V55" s="65"/>
      <c r="W55" s="65"/>
      <c r="X55" s="65"/>
      <c r="Y55" s="1"/>
      <c r="Z55" s="31"/>
      <c r="AA55" s="65"/>
      <c r="AB55" s="65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>
      <c r="A56" s="1"/>
      <c r="B56" s="82" t="s">
        <v>203</v>
      </c>
      <c r="C56" s="62">
        <v>9.0</v>
      </c>
      <c r="D56" s="62">
        <v>30.0</v>
      </c>
      <c r="E56" s="62">
        <v>6.0</v>
      </c>
      <c r="F56" s="85"/>
      <c r="G56" s="62">
        <v>5.0</v>
      </c>
      <c r="H56" s="62">
        <v>78.0</v>
      </c>
      <c r="I56" s="62">
        <v>106.0</v>
      </c>
      <c r="J56" s="62">
        <v>21.0</v>
      </c>
      <c r="K56" s="62">
        <v>57.0</v>
      </c>
      <c r="L56" s="62">
        <v>35.0</v>
      </c>
      <c r="M56" s="62">
        <v>38.0</v>
      </c>
      <c r="N56" s="62">
        <v>159.0</v>
      </c>
      <c r="O56" s="1"/>
      <c r="P56" s="1"/>
      <c r="Q56" s="91"/>
      <c r="R56" s="91"/>
      <c r="S56" s="92"/>
      <c r="T56" s="1"/>
      <c r="U56" s="31"/>
      <c r="V56" s="65"/>
      <c r="W56" s="65"/>
      <c r="X56" s="65"/>
      <c r="Y56" s="1"/>
      <c r="Z56" s="31"/>
      <c r="AA56" s="65"/>
      <c r="AB56" s="65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>
      <c r="A57" s="1"/>
      <c r="B57" s="82" t="s">
        <v>203</v>
      </c>
      <c r="C57" s="62"/>
      <c r="D57" s="62"/>
      <c r="E57" s="62"/>
      <c r="F57" s="62"/>
      <c r="G57" s="62"/>
      <c r="H57" s="85"/>
      <c r="I57" s="62">
        <v>30.0</v>
      </c>
      <c r="J57" s="62">
        <v>130.0</v>
      </c>
      <c r="K57" s="62">
        <v>150.0</v>
      </c>
      <c r="L57" s="62">
        <v>2.0</v>
      </c>
      <c r="M57" s="85"/>
      <c r="N57" s="85"/>
      <c r="O57" s="1"/>
      <c r="P57" s="1"/>
      <c r="Q57" s="91"/>
      <c r="R57" s="91"/>
      <c r="S57" s="92"/>
      <c r="T57" s="1"/>
      <c r="U57" s="31"/>
      <c r="V57" s="65"/>
      <c r="W57" s="65"/>
      <c r="X57" s="65"/>
      <c r="Y57" s="1"/>
      <c r="Z57" s="31"/>
      <c r="AA57" s="65"/>
      <c r="AB57" s="65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>
      <c r="A58" s="1"/>
      <c r="B58" s="45"/>
      <c r="C58" s="62"/>
      <c r="D58" s="62"/>
      <c r="E58" s="62"/>
      <c r="F58" s="62"/>
      <c r="G58" s="62"/>
      <c r="H58" s="85"/>
      <c r="I58" s="62"/>
      <c r="J58" s="62"/>
      <c r="K58" s="62"/>
      <c r="L58" s="62"/>
      <c r="M58" s="85"/>
      <c r="N58" s="85"/>
      <c r="O58" s="1"/>
      <c r="P58" s="1"/>
      <c r="Q58" s="91"/>
      <c r="R58" s="91"/>
      <c r="S58" s="92"/>
      <c r="T58" s="1"/>
      <c r="U58" s="31"/>
      <c r="V58" s="65"/>
      <c r="W58" s="65"/>
      <c r="X58" s="65"/>
      <c r="Y58" s="1"/>
      <c r="Z58" s="31"/>
      <c r="AA58" s="65"/>
      <c r="AB58" s="65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</sheetData>
  <hyperlinks>
    <hyperlink r:id="rId1" ref="U10"/>
    <hyperlink r:id="rId2" ref="U11"/>
    <hyperlink r:id="rId3" ref="U13"/>
    <hyperlink r:id="rId4" ref="Q16"/>
    <hyperlink r:id="rId5" ref="U17"/>
    <hyperlink r:id="rId6" ref="U18"/>
    <hyperlink r:id="rId7" ref="U19"/>
    <hyperlink r:id="rId8" ref="U20"/>
    <hyperlink r:id="rId9" ref="U21"/>
    <hyperlink r:id="rId10" ref="U22"/>
    <hyperlink r:id="rId11" ref="U23"/>
    <hyperlink r:id="rId12" ref="U24"/>
    <hyperlink r:id="rId13" ref="U25"/>
    <hyperlink r:id="rId14" ref="U26"/>
    <hyperlink r:id="rId15" ref="U27"/>
    <hyperlink r:id="rId16" ref="U28"/>
    <hyperlink r:id="rId17" ref="U29"/>
    <hyperlink r:id="rId18" ref="U30"/>
    <hyperlink r:id="rId19" ref="U31"/>
    <hyperlink r:id="rId20" ref="U32"/>
    <hyperlink r:id="rId21" ref="U33"/>
    <hyperlink r:id="rId22" ref="B37"/>
    <hyperlink r:id="rId23" ref="B38"/>
    <hyperlink r:id="rId24" ref="B39"/>
    <hyperlink r:id="rId25" ref="B40"/>
    <hyperlink r:id="rId26" ref="B44"/>
    <hyperlink r:id="rId27" ref="B45"/>
    <hyperlink r:id="rId28" ref="B46"/>
    <hyperlink r:id="rId29" ref="B49"/>
    <hyperlink r:id="rId30" ref="B50"/>
    <hyperlink r:id="rId31" ref="B52"/>
    <hyperlink r:id="rId32" ref="B56"/>
    <hyperlink r:id="rId33" ref="B57"/>
  </hyperlinks>
  <drawing r:id="rId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061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88"/>
  </cols>
  <sheetData>
    <row r="1" ht="12.75" customHeight="1">
      <c r="A1" s="2"/>
      <c r="B1" s="5"/>
      <c r="C1" s="2"/>
      <c r="D1" s="2"/>
      <c r="E1" s="2"/>
      <c r="F1" s="2"/>
      <c r="G1" s="2"/>
      <c r="H1" s="2"/>
      <c r="I1" s="2"/>
      <c r="J1" s="2"/>
      <c r="K1" s="8"/>
      <c r="L1" s="8"/>
    </row>
    <row r="2" ht="95.25" customHeight="1">
      <c r="A2" s="2"/>
      <c r="B2" s="11" t="s">
        <v>4</v>
      </c>
      <c r="C2" s="2"/>
      <c r="D2" s="2"/>
      <c r="E2" s="2"/>
      <c r="F2" s="2"/>
      <c r="G2" s="2"/>
      <c r="H2" s="2"/>
      <c r="I2" s="2"/>
      <c r="J2" s="2"/>
      <c r="K2" s="8"/>
      <c r="L2" s="8"/>
    </row>
    <row r="3" ht="8.25" customHeight="1">
      <c r="A3" s="13"/>
      <c r="B3" s="13"/>
      <c r="C3" s="16"/>
      <c r="D3" s="16"/>
      <c r="E3" s="16"/>
      <c r="F3" s="16"/>
      <c r="G3" s="16"/>
      <c r="H3" s="16"/>
      <c r="I3" s="16"/>
      <c r="J3" s="16"/>
      <c r="K3" s="18"/>
      <c r="L3" s="18"/>
    </row>
    <row r="4" ht="207.0" customHeight="1">
      <c r="A4" s="20"/>
      <c r="B4" s="22" t="s">
        <v>7</v>
      </c>
      <c r="K4" s="22"/>
      <c r="L4" s="23"/>
    </row>
    <row r="5" ht="22.5" customHeight="1">
      <c r="A5" s="24"/>
      <c r="B5" s="26" t="s">
        <v>9</v>
      </c>
      <c r="C5" s="27"/>
      <c r="D5" s="28"/>
      <c r="E5" s="29"/>
      <c r="F5" s="29"/>
      <c r="G5" s="29"/>
      <c r="H5" s="29"/>
      <c r="I5" s="29"/>
      <c r="J5" s="29"/>
      <c r="K5" s="30"/>
      <c r="L5" s="32"/>
    </row>
    <row r="6" ht="8.25" customHeight="1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6"/>
    </row>
    <row r="7" ht="22.5" customHeight="1">
      <c r="A7" s="33"/>
      <c r="B7" s="34" t="s">
        <v>12</v>
      </c>
      <c r="K7" s="34"/>
      <c r="L7" s="36"/>
    </row>
    <row r="8" ht="22.5" customHeight="1">
      <c r="A8" s="39"/>
      <c r="B8" s="41"/>
      <c r="C8" s="42"/>
      <c r="D8" s="42"/>
      <c r="E8" s="42"/>
      <c r="F8" s="42"/>
      <c r="G8" s="42"/>
      <c r="H8" s="42"/>
      <c r="I8" s="42"/>
      <c r="J8" s="42"/>
      <c r="K8" s="36"/>
      <c r="L8" s="36"/>
    </row>
    <row r="9" ht="22.5" customHeight="1">
      <c r="A9" s="39"/>
      <c r="B9" s="41"/>
      <c r="C9" s="42"/>
      <c r="D9" s="42"/>
      <c r="E9" s="42"/>
      <c r="F9" s="42"/>
      <c r="G9" s="42"/>
      <c r="H9" s="42"/>
      <c r="I9" s="42"/>
      <c r="J9" s="42"/>
      <c r="K9" s="36"/>
      <c r="L9" s="36"/>
    </row>
    <row r="10" ht="22.5" customHeight="1">
      <c r="A10" s="44"/>
      <c r="B10" s="44"/>
      <c r="C10" s="46"/>
      <c r="D10" s="46"/>
      <c r="E10" s="46"/>
      <c r="F10" s="46"/>
      <c r="G10" s="46"/>
      <c r="H10" s="46"/>
      <c r="I10" s="46"/>
      <c r="J10" s="46"/>
      <c r="K10" s="47"/>
      <c r="L10" s="47"/>
    </row>
    <row r="11" ht="22.5" customHeight="1">
      <c r="A11" s="49"/>
      <c r="B11" s="50" t="s">
        <v>25</v>
      </c>
      <c r="C11" s="52"/>
      <c r="D11" s="52"/>
      <c r="E11" s="52"/>
      <c r="F11" s="52"/>
      <c r="G11" s="52"/>
      <c r="H11" s="52"/>
      <c r="I11" s="52"/>
      <c r="J11" s="54"/>
      <c r="K11" s="56"/>
      <c r="L11" s="56"/>
    </row>
    <row r="12" ht="22.5" customHeight="1">
      <c r="A12" s="44"/>
      <c r="J12" s="46"/>
      <c r="K12" s="47"/>
      <c r="L12" s="47"/>
    </row>
    <row r="13" ht="22.5" customHeight="1">
      <c r="A13" s="57"/>
      <c r="B13" s="58" t="s">
        <v>44</v>
      </c>
      <c r="J13" s="46"/>
      <c r="K13" s="47"/>
      <c r="L13" s="47"/>
    </row>
    <row r="14">
      <c r="A14" s="46"/>
      <c r="B14" s="59" t="s">
        <v>49</v>
      </c>
      <c r="C14" s="59"/>
      <c r="D14" s="59"/>
      <c r="E14" s="59"/>
      <c r="F14" s="59"/>
      <c r="G14" s="59"/>
      <c r="H14" s="59"/>
      <c r="I14" s="59"/>
      <c r="J14" s="46"/>
      <c r="K14" s="47"/>
      <c r="L14" s="47"/>
    </row>
    <row r="15">
      <c r="A15" s="44"/>
      <c r="B15" s="60" t="s">
        <v>56</v>
      </c>
      <c r="C15" s="61"/>
      <c r="D15" s="61"/>
      <c r="E15" s="61"/>
      <c r="F15" s="61"/>
      <c r="G15" s="61"/>
      <c r="H15" s="61"/>
      <c r="I15" s="61"/>
      <c r="J15" s="46"/>
      <c r="K15" s="47"/>
      <c r="L15" s="47"/>
    </row>
    <row r="16" ht="22.5" customHeight="1">
      <c r="A16" s="44"/>
      <c r="B16" s="61"/>
      <c r="C16" s="61"/>
      <c r="D16" s="61"/>
      <c r="E16" s="61"/>
      <c r="F16" s="61"/>
      <c r="G16" s="61"/>
      <c r="H16" s="61"/>
      <c r="I16" s="61"/>
      <c r="J16" s="46"/>
      <c r="K16" s="47"/>
      <c r="L16" s="47"/>
    </row>
    <row r="17" ht="22.5" customHeight="1">
      <c r="A17" s="57"/>
      <c r="B17" s="58" t="s">
        <v>71</v>
      </c>
      <c r="J17" s="46"/>
      <c r="K17" s="47"/>
      <c r="L17" s="47"/>
    </row>
    <row r="18">
      <c r="A18" s="63"/>
      <c r="B18" s="59" t="s">
        <v>76</v>
      </c>
      <c r="C18" s="59"/>
      <c r="D18" s="59"/>
      <c r="E18" s="59"/>
      <c r="F18" s="59"/>
      <c r="G18" s="59"/>
      <c r="H18" s="59"/>
      <c r="I18" s="59"/>
      <c r="J18" s="66"/>
      <c r="K18" s="66"/>
      <c r="L18" s="66"/>
    </row>
    <row r="19">
      <c r="A19" s="63"/>
      <c r="B19" s="59" t="s">
        <v>85</v>
      </c>
      <c r="C19" s="59"/>
      <c r="D19" s="59"/>
      <c r="E19" s="59"/>
      <c r="F19" s="59"/>
      <c r="G19" s="59"/>
      <c r="H19" s="59"/>
      <c r="I19" s="59"/>
      <c r="J19" s="66"/>
      <c r="K19" s="66"/>
      <c r="L19" s="66"/>
    </row>
    <row r="20">
      <c r="A20" s="67"/>
      <c r="B20" s="68" t="s">
        <v>89</v>
      </c>
      <c r="C20" s="59"/>
      <c r="D20" s="59"/>
      <c r="E20" s="59"/>
      <c r="F20" s="59"/>
      <c r="G20" s="59"/>
      <c r="H20" s="59"/>
      <c r="I20" s="59"/>
      <c r="J20" s="66"/>
      <c r="K20" s="66"/>
      <c r="L20" s="66"/>
    </row>
    <row r="21">
      <c r="A21" s="67"/>
      <c r="B21" s="68" t="s">
        <v>97</v>
      </c>
      <c r="C21" s="59"/>
      <c r="D21" s="59"/>
      <c r="E21" s="59"/>
      <c r="F21" s="59"/>
      <c r="G21" s="59"/>
      <c r="H21" s="59"/>
      <c r="I21" s="59"/>
      <c r="J21" s="66"/>
      <c r="K21" s="66"/>
      <c r="L21" s="66"/>
    </row>
    <row r="22">
      <c r="A22" s="67"/>
      <c r="B22" s="68" t="s">
        <v>104</v>
      </c>
      <c r="C22" s="59"/>
      <c r="D22" s="59"/>
      <c r="E22" s="59"/>
      <c r="F22" s="59"/>
      <c r="G22" s="59"/>
      <c r="H22" s="59"/>
      <c r="I22" s="59"/>
      <c r="J22" s="66"/>
      <c r="K22" s="66"/>
      <c r="L22" s="66"/>
    </row>
    <row r="23">
      <c r="A23" s="67"/>
      <c r="B23" s="68" t="s">
        <v>111</v>
      </c>
      <c r="C23" s="59"/>
      <c r="D23" s="59"/>
      <c r="E23" s="59"/>
      <c r="F23" s="59"/>
      <c r="G23" s="59"/>
      <c r="H23" s="59"/>
      <c r="I23" s="59"/>
      <c r="J23" s="66"/>
      <c r="K23" s="66"/>
      <c r="L23" s="66"/>
    </row>
    <row r="24" ht="22.5" customHeight="1">
      <c r="A24" s="69"/>
      <c r="B24" s="73" t="str">
        <f>HYPERLINK("https://chrome.google.com/webstore/detail/supermetrics/bnkdidgbiidpnohlnhmkehlimlnfhgce","Install Supermetrics for Google Sheets")</f>
        <v>Install Supermetrics for Google Sheets</v>
      </c>
      <c r="J24" s="46"/>
      <c r="K24" s="47"/>
      <c r="L24" s="47"/>
    </row>
    <row r="25" ht="22.5" customHeight="1">
      <c r="A25" s="44"/>
      <c r="B25" s="74"/>
      <c r="C25" s="61"/>
      <c r="D25" s="61"/>
      <c r="E25" s="61"/>
      <c r="F25" s="61"/>
      <c r="G25" s="61"/>
      <c r="H25" s="61"/>
      <c r="I25" s="61"/>
      <c r="J25" s="46"/>
      <c r="K25" s="47"/>
      <c r="L25" s="47"/>
    </row>
    <row r="26" ht="22.5" customHeight="1">
      <c r="A26" s="75"/>
      <c r="B26" s="58" t="s">
        <v>132</v>
      </c>
      <c r="J26" s="46"/>
      <c r="K26" s="47"/>
      <c r="L26" s="47"/>
    </row>
    <row r="27">
      <c r="A27" s="75"/>
      <c r="B27" s="76" t="s">
        <v>134</v>
      </c>
      <c r="C27" s="76"/>
      <c r="D27" s="76"/>
      <c r="E27" s="76"/>
      <c r="F27" s="76"/>
      <c r="G27" s="76"/>
      <c r="H27" s="76"/>
      <c r="I27" s="76"/>
      <c r="J27" s="46"/>
      <c r="K27" s="47"/>
      <c r="L27" s="47"/>
    </row>
    <row r="28" ht="22.5" customHeight="1">
      <c r="A28" s="75"/>
      <c r="B28" s="75"/>
      <c r="J28" s="46"/>
      <c r="K28" s="47"/>
      <c r="L28" s="47"/>
    </row>
    <row r="29" ht="22.5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</row>
    <row r="30" ht="22.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</row>
  </sheetData>
  <mergeCells count="7">
    <mergeCell ref="B4:J4"/>
    <mergeCell ref="B7:J7"/>
    <mergeCell ref="B13:I13"/>
    <mergeCell ref="B17:I17"/>
    <mergeCell ref="B24:I24"/>
    <mergeCell ref="B26:I26"/>
    <mergeCell ref="B28:I28"/>
  </mergeCells>
  <conditionalFormatting sqref="A1:J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